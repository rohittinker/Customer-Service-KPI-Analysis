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d.docs.live.net/01c2bdcabb9190ed/Desktop/"/>
    </mc:Choice>
  </mc:AlternateContent>
  <xr:revisionPtr revIDLastSave="11" documentId="8_{17ED26DE-9EB0-469E-8D69-84701E8536AB}" xr6:coauthVersionLast="47" xr6:coauthVersionMax="47" xr10:uidLastSave="{92C93C0D-19F4-4D30-9C25-2F2AB5D300AB}"/>
  <bookViews>
    <workbookView xWindow="-110" yWindow="-110" windowWidth="19420" windowHeight="10300" activeTab="3" xr2:uid="{26D4546B-D2A1-4444-8EAF-A6228F96F0C1}"/>
  </bookViews>
  <sheets>
    <sheet name="calculation" sheetId="5" r:id="rId1"/>
    <sheet name="Data" sheetId="2" r:id="rId2"/>
    <sheet name="Assets" sheetId="4" r:id="rId3"/>
    <sheet name="dashboard" sheetId="6"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17" r:id="rId9"/>
    <pivotCache cacheId="420" r:id="rId10"/>
    <pivotCache cacheId="423" r:id="rId11"/>
    <pivotCache cacheId="426" r:id="rId12"/>
    <pivotCache cacheId="42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M17" i="6" l="1"/>
  <c r="N19" i="6"/>
  <c r="N20" i="6"/>
  <c r="N21" i="6"/>
  <c r="N23" i="6"/>
  <c r="N24" i="6"/>
  <c r="N25" i="6"/>
  <c r="N26" i="6"/>
  <c r="N27" i="6"/>
  <c r="N28" i="6"/>
  <c r="N30" i="6"/>
  <c r="N31" i="6"/>
  <c r="N32" i="6"/>
  <c r="N33" i="6"/>
  <c r="N34" i="6"/>
  <c r="N18" i="6"/>
  <c r="O18" i="6"/>
  <c r="P18" i="6"/>
  <c r="Q18" i="6"/>
  <c r="R18" i="6"/>
  <c r="O19" i="6"/>
  <c r="P19" i="6"/>
  <c r="Q19" i="6"/>
  <c r="R19" i="6"/>
  <c r="O20" i="6"/>
  <c r="P20" i="6"/>
  <c r="Q20" i="6"/>
  <c r="R20" i="6"/>
  <c r="O21" i="6"/>
  <c r="P21" i="6"/>
  <c r="Q21" i="6"/>
  <c r="R21" i="6"/>
  <c r="O23" i="6"/>
  <c r="P23" i="6"/>
  <c r="Q23" i="6"/>
  <c r="R23" i="6"/>
  <c r="O24" i="6"/>
  <c r="P24" i="6"/>
  <c r="Q24" i="6"/>
  <c r="R24" i="6"/>
  <c r="O25" i="6"/>
  <c r="P25" i="6"/>
  <c r="Q25" i="6"/>
  <c r="R25" i="6"/>
  <c r="O26" i="6"/>
  <c r="P26" i="6"/>
  <c r="Q26" i="6"/>
  <c r="R26" i="6"/>
  <c r="O27" i="6"/>
  <c r="P27" i="6"/>
  <c r="Q27" i="6"/>
  <c r="R27" i="6"/>
  <c r="O28" i="6"/>
  <c r="P28" i="6"/>
  <c r="Q28" i="6"/>
  <c r="R28" i="6"/>
  <c r="O30" i="6"/>
  <c r="P30" i="6"/>
  <c r="Q30" i="6"/>
  <c r="R30" i="6"/>
  <c r="O31" i="6"/>
  <c r="P31" i="6"/>
  <c r="Q31" i="6"/>
  <c r="R31" i="6"/>
  <c r="O32" i="6"/>
  <c r="P32" i="6"/>
  <c r="Q32" i="6"/>
  <c r="R32" i="6"/>
  <c r="O33" i="6"/>
  <c r="P33" i="6"/>
  <c r="Q33" i="6"/>
  <c r="R33" i="6"/>
  <c r="O34" i="6"/>
  <c r="P34" i="6"/>
  <c r="Q34" i="6"/>
  <c r="R34" i="6"/>
  <c r="R16" i="6"/>
  <c r="Q16" i="6"/>
  <c r="P16" i="6"/>
  <c r="O16" i="6"/>
  <c r="N16" i="6"/>
  <c r="M18" i="6"/>
  <c r="S18" i="6"/>
  <c r="M19" i="6"/>
  <c r="S19" i="6"/>
  <c r="M20" i="6"/>
  <c r="S20" i="6"/>
  <c r="M21" i="6"/>
  <c r="S21" i="6"/>
  <c r="M22" i="6"/>
  <c r="M23" i="6"/>
  <c r="S23" i="6"/>
  <c r="M24" i="6"/>
  <c r="S24" i="6"/>
  <c r="M25" i="6"/>
  <c r="S25" i="6"/>
  <c r="M26" i="6"/>
  <c r="S26" i="6"/>
  <c r="M27" i="6"/>
  <c r="S27" i="6"/>
  <c r="M28" i="6"/>
  <c r="S28" i="6"/>
  <c r="M29" i="6"/>
  <c r="M30" i="6"/>
  <c r="S30" i="6"/>
  <c r="M31" i="6"/>
  <c r="S31" i="6"/>
  <c r="M32" i="6"/>
  <c r="S32" i="6"/>
  <c r="M33" i="6"/>
  <c r="S33" i="6"/>
  <c r="M34" i="6"/>
  <c r="S34" i="6"/>
  <c r="O18" i="5"/>
  <c r="O22" i="5"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N25" i="5" l="1"/>
  <c r="N24" i="5"/>
  <c r="N23" i="5"/>
  <c r="N22" i="5"/>
  <c r="N21" i="5"/>
  <c r="O21" i="5"/>
  <c r="O25" i="5"/>
  <c r="O24" i="5"/>
  <c r="O2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CB6A33-D0E3-49D4-8343-9D92FB035B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8CD3F09-E48B-493C-9BD7-D143AE94E582}"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19238373-7544-466A-B486-9420B4A72AAD}"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<sst xmlns="http://schemas.openxmlformats.org/spreadsheetml/2006/main" count="3163" uniqueCount="1077">
  <si>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</si>
  <si>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</si>
  <si>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</si>
  <si>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</si>
  <si>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</si>
  <si>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</si>
  <si>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</si>
  <si>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</si>
  <si>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</si>
  <si>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</si>
  <si>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</si>
  <si>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</si>
  <si>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</si>
  <si>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</si>
  <si>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</si>
  <si>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</si>
  <si>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</si>
  <si>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</si>
  <si>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</si>
  <si>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</si>
  <si>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</si>
  <si>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</si>
  <si>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</si>
  <si>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</si>
  <si>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</si>
  <si>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</si>
  <si>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</si>
  <si>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</si>
  <si>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</si>
  <si>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</si>
  <si>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</si>
  <si>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</si>
  <si>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</si>
  <si>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</si>
  <si>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</si>
  <si>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</si>
  <si>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</si>
  <si>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</si>
  <si>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</si>
  <si>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</si>
  <si>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</si>
  <si>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</si>
  <si>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</si>
  <si>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</si>
  <si>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</si>
  <si>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</si>
  <si>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</si>
  <si>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</si>
  <si>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</si>
  <si>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</si>
  <si>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</si>
  <si>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</si>
  <si>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</si>
  <si>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</si>
  <si>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</si>
  <si>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</si>
  <si>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</si>
  <si>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</si>
  <si>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</si>
  <si>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</si>
  <si>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</si>
  <si>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</si>
  <si>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</si>
  <si>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</si>
  <si>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</si>
  <si>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</si>
  <si>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</si>
  <si>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</si>
  <si>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</si>
  <si>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</si>
  <si>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</si>
  <si>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</si>
  <si>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</si>
  <si>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</si>
  <si>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</si>
  <si>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</si>
  <si>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</si>
  <si>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</si>
  <si>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</si>
  <si>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</si>
  <si>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</si>
  <si>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</si>
  <si>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</si>
  <si>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</si>
  <si>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</si>
  <si>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</si>
  <si>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</si>
  <si>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</si>
  <si>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</si>
  <si>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</si>
  <si>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</si>
  <si>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</si>
  <si>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</si>
  <si>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</si>
  <si>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</si>
  <si>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</si>
  <si>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</si>
  <si>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</si>
  <si>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</si>
  <si>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</si>
  <si>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</si>
  <si>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</si>
  <si>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</si>
  <si>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</si>
  <si>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</si>
  <si>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</si>
  <si>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</si>
  <si>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</si>
  <si>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</si>
  <si>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</si>
  <si>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</si>
  <si>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</si>
  <si>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</si>
  <si>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</si>
  <si>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</si>
  <si>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</si>
  <si>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</si>
  <si>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</si>
  <si>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</si>
  <si>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</si>
  <si>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</si>
  <si>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</si>
  <si>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</si>
  <si>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</si>
  <si>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</si>
  <si>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</si>
  <si>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</si>
  <si>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</si>
  <si>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</si>
  <si>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</si>
  <si>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</si>
  <si>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</si>
  <si>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</si>
  <si>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</si>
  <si>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</si>
  <si>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</si>
  <si>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</si>
  <si>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</si>
  <si>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</si>
  <si>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</si>
  <si>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</si>
  <si>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</si>
  <si>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</si>
  <si>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</si>
  <si>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</si>
  <si>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</si>
  <si>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</si>
  <si>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</si>
  <si>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</si>
  <si>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</si>
  <si>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</si>
  <si>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</si>
  <si>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</si>
  <si>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</si>
  <si>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</si>
  <si>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</si>
  <si>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</si>
  <si>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</si>
  <si>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</si>
  <si>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</si>
  <si>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</si>
  <si>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</si>
  <si>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</si>
  <si>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</si>
  <si>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</si>
  <si>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</si>
  <si>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</si>
  <si>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</si>
  <si>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</si>
  <si>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</si>
  <si>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</si>
  <si>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</si>
  <si>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</si>
  <si>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</si>
  <si>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</si>
  <si>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</si>
  <si>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</si>
  <si>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</si>
  <si>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</si>
  <si>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</si>
  <si>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</si>
  <si>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</si>
  <si>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</si>
  <si>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</si>
  <si>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</si>
  <si>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</si>
  <si>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</si>
  <si>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</si>
  <si>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</si>
  <si>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</si>
  <si>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</si>
  <si>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</si>
  <si>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</si>
  <si>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</si>
  <si>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</si>
  <si>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</si>
  <si>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</si>
  <si>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</si>
  <si>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</si>
  <si>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</si>
  <si>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</si>
  <si>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</si>
  <si>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</si>
  <si>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</si>
  <si>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</si>
  <si>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</si>
  <si>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</si>
  <si>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</si>
  <si>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</si>
  <si>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</si>
  <si>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</si>
  <si>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</si>
  <si>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</si>
  <si>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</si>
  <si>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</si>
  <si>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</si>
  <si>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</si>
  <si>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</si>
  <si>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</si>
  <si>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</si>
  <si>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</si>
  <si>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</si>
  <si>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</si>
  <si>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</si>
  <si>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</si>
  <si>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</si>
  <si>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</si>
  <si>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</si>
  <si>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</si>
  <si>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</si>
  <si>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</si>
  <si>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</si>
  <si>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</si>
  <si>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</si>
  <si>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</si>
  <si>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</si>
  <si>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</si>
  <si>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</si>
  <si>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</si>
  <si>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</si>
  <si>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</si>
  <si>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</si>
  <si>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</si>
  <si>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</si>
  <si>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</si>
  <si>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</si>
  <si>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</si>
  <si>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</si>
  <si>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</si>
  <si>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</si>
  <si>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</si>
  <si>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</si>
  <si>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</si>
  <si>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</si>
  <si>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</si>
  <si>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</si>
  <si>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</si>
  <si>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</si>
  <si>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</si>
  <si>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</si>
  <si>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</si>
  <si>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</si>
  <si>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</si>
  <si>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</si>
  <si>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</si>
  <si>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</si>
  <si>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</si>
  <si>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</si>
  <si>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</si>
  <si>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</si>
  <si>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</si>
  <si>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</si>
  <si>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</si>
  <si>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</si>
  <si>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</si>
  <si>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</si>
  <si>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</si>
  <si>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</si>
  <si>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</si>
  <si>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</si>
  <si>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</si>
  <si>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</si>
  <si>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</si>
  <si>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</si>
  <si>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</si>
  <si>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</si>
  <si>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</si>
  <si>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</si>
  <si>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</si>
  <si>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</si>
  <si>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</si>
  <si>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</si>
  <si>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</si>
  <si>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</si>
  <si>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</si>
  <si>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</si>
  <si>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</si>
  <si>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</si>
  <si>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</si>
  <si>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</si>
  <si>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</si>
  <si>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</si>
  <si>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</si>
  <si>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</si>
  <si>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</si>
  <si>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</si>
  <si>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</si>
  <si>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</si>
  <si>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</si>
  <si>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</si>
  <si>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</si>
  <si>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</si>
  <si>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</si>
  <si>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</si>
  <si>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</si>
  <si>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</si>
  <si>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</si>
  <si>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</si>
  <si>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</si>
  <si>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</si>
  <si>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</si>
  <si>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</si>
  <si>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</si>
  <si>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</si>
  <si>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</si>
  <si>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</si>
  <si>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</si>
  <si>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</si>
  <si>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</si>
  <si>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</si>
  <si>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</si>
  <si>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</si>
  <si>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</si>
  <si>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</si>
  <si>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</si>
  <si>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</si>
  <si>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</si>
  <si>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</si>
  <si>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</si>
  <si>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</si>
  <si>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</si>
  <si>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</si>
  <si>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</si>
  <si>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</si>
  <si>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</si>
  <si>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</si>
  <si>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</si>
  <si>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</si>
  <si>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</si>
  <si>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</si>
  <si>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</si>
  <si>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</si>
  <si>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</si>
  <si>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</si>
  <si>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</si>
  <si>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</si>
  <si>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</si>
  <si>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</si>
  <si>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</si>
  <si>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</si>
  <si>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</si>
  <si>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</si>
  <si>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</si>
  <si>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</si>
  <si>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</si>
  <si>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</si>
  <si>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</si>
  <si>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</si>
  <si>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</si>
  <si>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</si>
  <si>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</si>
  <si>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</si>
  <si>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</si>
  <si>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</si>
  <si>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</si>
  <si>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</si>
  <si>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</si>
  <si>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</si>
  <si>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</si>
  <si>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</si>
  <si>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</si>
  <si>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</si>
  <si>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</si>
  <si>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</si>
  <si>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</si>
  <si>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</si>
  <si>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</si>
  <si>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</si>
  <si>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</si>
  <si>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</si>
  <si>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</si>
  <si>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</si>
  <si>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</si>
  <si>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</si>
  <si>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</si>
  <si>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</si>
  <si>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</si>
  <si>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</si>
  <si>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</si>
  <si>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</si>
  <si>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</si>
  <si>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</si>
  <si>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</si>
  <si>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</si>
  <si>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</si>
  <si>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</si>
  <si>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</si>
  <si>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</si>
  <si>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</si>
  <si>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</si>
  <si>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</si>
  <si>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</si>
  <si>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</si>
  <si>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</si>
  <si>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</si>
  <si>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</si>
  <si>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</si>
  <si>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</si>
  <si>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</si>
  <si>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</si>
  <si>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</si>
  <si>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</si>
  <si>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</si>
  <si>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</si>
  <si>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</si>
  <si>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</si>
  <si>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</si>
  <si>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</si>
  <si>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</si>
  <si>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</si>
  <si>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</si>
  <si>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</si>
  <si>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</si>
  <si>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</si>
  <si>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</si>
  <si>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</si>
  <si>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</si>
  <si>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</si>
  <si>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</si>
  <si>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</si>
  <si>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</si>
  <si>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</si>
  <si>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</si>
  <si>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</si>
  <si>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</si>
  <si>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</si>
  <si>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</si>
  <si>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</si>
  <si>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</si>
  <si>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</si>
  <si>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</si>
  <si>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</si>
  <si>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</si>
  <si>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</si>
  <si>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</si>
  <si>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</si>
  <si>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</si>
  <si>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</si>
  <si>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</si>
  <si>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</si>
  <si>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</si>
  <si>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</si>
  <si>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</si>
  <si>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</si>
  <si>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</si>
  <si>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</si>
  <si>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</si>
  <si>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</si>
  <si>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</si>
  <si>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</si>
  <si>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</si>
  <si>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</si>
  <si>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</si>
  <si>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</si>
  <si>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</si>
  <si>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</si>
  <si>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</si>
  <si>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</si>
  <si>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</si>
  <si>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</si>
  <si>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</si>
  <si>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</si>
  <si>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</si>
  <si>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</si>
  <si>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</si>
  <si>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</si>
  <si>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</si>
  <si>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</si>
  <si>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</si>
  <si>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</si>
  <si>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</si>
  <si>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</si>
  <si>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</si>
  <si>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</si>
  <si>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</si>
  <si>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</si>
  <si>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</si>
  <si>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</si>
  <si>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</si>
  <si>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</si>
  <si>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</si>
  <si>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</si>
  <si>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</si>
  <si>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</si>
  <si>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</si>
  <si>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</si>
  <si>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</si>
  <si>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</si>
  <si>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</si>
  <si>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</si>
  <si>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</si>
  <si>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</si>
  <si>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</si>
  <si>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</si>
  <si>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</si>
  <si>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</si>
  <si>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</si>
  <si>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</si>
  <si>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</si>
  <si>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</si>
  <si>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</si>
  <si>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</si>
  <si>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</si>
  <si>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</si>
  <si>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</si>
  <si>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</si>
  <si>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</si>
  <si>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</si>
  <si>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</si>
  <si>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</si>
  <si>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</si>
  <si>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</si>
  <si>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</si>
  <si>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</si>
  <si>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</si>
  <si>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</si>
  <si>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</si>
  <si>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</si>
  <si>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</si>
  <si>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</si>
  <si>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</si>
  <si>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</si>
  <si>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</si>
  <si>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</si>
  <si>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</si>
  <si>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</si>
  <si>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</si>
  <si>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</si>
  <si>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</si>
  <si>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</si>
  <si>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</si>
  <si>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</si>
  <si>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</si>
  <si>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</si>
  <si>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</si>
  <si>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</si>
  <si>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</si>
  <si>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</si>
  <si>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</si>
  <si>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</si>
  <si>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</si>
  <si>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</si>
  <si>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</si>
  <si>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</si>
  <si>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</si>
  <si>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</si>
  <si>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</si>
  <si>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</si>
  <si>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</si>
  <si>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</si>
  <si>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</si>
  <si>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</si>
  <si>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</si>
  <si>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</si>
  <si>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</si>
  <si>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</si>
  <si>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</si>
  <si>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</si>
  <si>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</si>
  <si>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</si>
  <si>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</si>
  <si>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</si>
  <si>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</si>
  <si>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</si>
  <si>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</si>
  <si>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</si>
  <si>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</si>
  <si>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</si>
  <si>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</si>
  <si>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</si>
  <si>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</si>
  <si>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</si>
  <si>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</si>
  <si>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</si>
  <si>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</si>
  <si>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</si>
  <si>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</si>
  <si>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</si>
  <si>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</si>
  <si>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</si>
  <si>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</si>
  <si>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</si>
  <si>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</si>
  <si>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</si>
  <si>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</si>
  <si>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</si>
  <si>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</si>
  <si>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</si>
  <si>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</si>
  <si>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</si>
  <si>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</si>
  <si>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</si>
  <si>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</si>
  <si>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</si>
  <si>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</si>
  <si>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</si>
  <si>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</si>
  <si>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</si>
  <si>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</si>
  <si>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</si>
  <si>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</si>
  <si>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</si>
  <si>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</si>
  <si>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</si>
  <si>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</si>
  <si>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</si>
  <si>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</si>
  <si>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</si>
  <si>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</si>
  <si>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</si>
  <si>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</si>
  <si>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</si>
  <si>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</si>
  <si>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</si>
  <si>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</si>
  <si>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</si>
  <si>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</si>
  <si>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</si>
  <si>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</si>
  <si>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</si>
  <si>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</si>
  <si>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</si>
  <si>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</si>
  <si>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</si>
  <si>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</si>
  <si>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</si>
  <si>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</si>
  <si>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</si>
  <si>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</si>
  <si>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</si>
  <si>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</si>
  <si>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</si>
  <si>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</si>
  <si>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</si>
  <si>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</si>
  <si>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</si>
  <si>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</si>
  <si>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</si>
  <si>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</si>
  <si>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</si>
  <si>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</si>
  <si>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</si>
  <si>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</si>
  <si>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</si>
  <si>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</si>
  <si>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</si>
  <si>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</si>
  <si>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</si>
  <si>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</si>
  <si>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</si>
  <si>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</si>
  <si>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</si>
  <si>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</si>
  <si>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</si>
  <si>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</si>
  <si>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</si>
  <si>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</si>
  <si>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</si>
  <si>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</si>
  <si>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</si>
  <si>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</si>
  <si>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</si>
  <si>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</si>
  <si>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</si>
  <si>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</si>
  <si>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</si>
  <si>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</si>
  <si>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</si>
  <si>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</si>
  <si>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</si>
  <si>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</si>
  <si>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</si>
  <si>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</si>
  <si>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</si>
  <si>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</si>
  <si>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</si>
  <si>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</si>
  <si>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</si>
  <si>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</si>
  <si>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</si>
  <si>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</si>
  <si>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</si>
  <si>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</si>
  <si>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</si>
  <si>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</si>
  <si>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</si>
  <si>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</si>
  <si>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</si>
  <si>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</si>
  <si>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</si>
  <si>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</si>
  <si>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</si>
  <si>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</si>
  <si>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</si>
  <si>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</si>
  <si>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</si>
  <si>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</si>
  <si>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</si>
  <si>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</si>
  <si>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</si>
  <si>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</si>
  <si>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</si>
  <si>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</si>
  <si>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</si>
  <si>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</si>
  <si>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</si>
  <si>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</si>
  <si>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</si>
  <si>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</si>
  <si>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</si>
  <si>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</si>
  <si>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</si>
  <si>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</si>
  <si>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</si>
  <si>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</si>
  <si>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</si>
  <si>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</si>
  <si>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</si>
  <si>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</si>
  <si>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</si>
  <si>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</si>
  <si>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</si>
  <si>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</si>
  <si>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</si>
  <si>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</si>
  <si>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</si>
  <si>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</si>
  <si>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</si>
  <si>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</si>
  <si>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</si>
  <si>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</si>
  <si>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</si>
  <si>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</si>
  <si>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</si>
  <si>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</si>
  <si>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</si>
  <si>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</si>
  <si>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</si>
  <si>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</si>
  <si>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</si>
  <si>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</si>
  <si>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</si>
  <si>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</si>
  <si>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</si>
  <si>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</si>
  <si>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</si>
  <si>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</si>
  <si>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</si>
  <si>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</si>
  <si>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</si>
  <si>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</si>
  <si>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</si>
  <si>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</si>
  <si>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</si>
  <si>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</si>
  <si>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</si>
  <si>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</si>
  <si>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</si>
  <si>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</si>
  <si>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</si>
  <si>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</si>
  <si>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</si>
  <si>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</si>
  <si>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</si>
  <si>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</si>
  <si>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</si>
  <si>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</si>
  <si>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</si>
  <si>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</si>
  <si>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</si>
  <si>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</si>
  <si>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</si>
  <si>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</si>
  <si>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</si>
  <si>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</si>
  <si>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</si>
  <si>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</si>
  <si>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</si>
  <si>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</si>
  <si>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</si>
  <si>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</si>
  <si>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</si>
  <si>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</si>
  <si>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</si>
  <si>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</si>
  <si>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</si>
  <si>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</si>
  <si>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</si>
  <si>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</si>
  <si>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</si>
  <si>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</si>
  <si>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</si>
  <si>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</si>
  <si>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</si>
  <si>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</si>
  <si>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</si>
  <si>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</si>
  <si>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</si>
  <si>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</si>
  <si>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</si>
  <si>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</si>
  <si>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</si>
  <si>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</si>
  <si>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</si>
  <si>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</si>
  <si>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</si>
  <si>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</si>
  <si>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</si>
  <si>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</si>
  <si>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</si>
  <si>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</si>
  <si>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</si>
  <si>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</si>
  <si>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</si>
  <si>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</si>
  <si>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</si>
  <si>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</si>
  <si>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</si>
  <si>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</si>
  <si>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</si>
  <si>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</si>
  <si>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</si>
  <si>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</si>
  <si>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</si>
  <si>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</si>
  <si>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</si>
  <si>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</si>
  <si>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</si>
  <si>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</si>
  <si>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</si>
  <si>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</si>
  <si>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</si>
  <si>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</si>
  <si>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</si>
  <si>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</si>
  <si>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</si>
  <si>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</si>
  <si>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</si>
  <si>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</si>
  <si>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</si>
  <si>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</si>
  <si>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</si>
  <si>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</si>
  <si>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</si>
  <si>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</si>
  <si>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</si>
  <si>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</si>
  <si>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</si>
  <si>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</si>
  <si>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</si>
  <si>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</si>
  <si>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</si>
  <si>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</si>
  <si>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</si>
  <si>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</si>
  <si>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</si>
  <si>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</si>
  <si>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</si>
  <si>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</si>
  <si>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</si>
  <si>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</si>
  <si>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</si>
  <si>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</si>
  <si>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</si>
  <si>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</si>
  <si>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</si>
  <si>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</si>
  <si>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</si>
  <si>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</si>
  <si>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</si>
  <si>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</si>
  <si>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</si>
  <si>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</si>
  <si>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</si>
  <si>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</si>
  <si>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</si>
  <si>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</si>
  <si>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</si>
  <si>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</si>
  <si>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</si>
  <si>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</si>
  <si>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</si>
  <si>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</si>
  <si>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</si>
  <si>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</si>
  <si>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</si>
  <si>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</si>
  <si>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</si>
  <si>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</si>
  <si>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</si>
  <si>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</si>
  <si>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</si>
  <si>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</si>
  <si>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</si>
  <si>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</si>
  <si>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</si>
  <si>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</si>
  <si>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</si>
  <si>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</si>
  <si>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</si>
  <si>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</si>
  <si>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</si>
  <si>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</si>
  <si>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</si>
  <si>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</si>
  <si>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</si>
  <si>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</si>
  <si>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</si>
  <si>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</si>
  <si>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</si>
  <si>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</si>
  <si>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</si>
  <si>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</si>
  <si>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</si>
  <si>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</si>
  <si>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</si>
  <si>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</si>
  <si>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</si>
  <si>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</si>
  <si>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</si>
  <si>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</si>
  <si>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</si>
  <si>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</si>
  <si>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</si>
  <si>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</si>
  <si>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</si>
  <si>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</si>
  <si>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</si>
  <si>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</si>
  <si>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</si>
  <si>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</si>
  <si>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</si>
  <si>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</si>
  <si>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</si>
  <si>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</si>
  <si>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</si>
  <si>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</si>
  <si>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</si>
  <si>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</si>
  <si>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</si>
  <si>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</si>
  <si>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</si>
  <si>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</si>
  <si>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</si>
  <si>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</si>
  <si>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</si>
  <si>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</si>
  <si>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</si>
  <si>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</si>
  <si>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</si>
  <si>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</si>
  <si>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</si>
  <si>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</si>
  <si>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</si>
  <si>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</si>
  <si>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</si>
  <si>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</si>
  <si>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</si>
  <si>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</si>
  <si>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</si>
  <si>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</si>
  <si>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</si>
  <si>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</si>
  <si>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</si>
  <si>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</si>
  <si>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</si>
  <si>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</si>
  <si>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</si>
  <si>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</si>
  <si>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</si>
  <si>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</si>
  <si>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</si>
  <si>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</si>
  <si>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</si>
  <si>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</si>
  <si>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</si>
  <si>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</si>
  <si>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</si>
  <si>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</si>
  <si>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</si>
  <si>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</si>
  <si>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</si>
  <si>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</si>
  <si>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</si>
  <si>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</si>
  <si>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</si>
  <si>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</si>
  <si>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</si>
  <si>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</si>
  <si>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</si>
  <si>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</si>
  <si>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</si>
  <si>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</si>
  <si>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</si>
  <si>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</si>
  <si>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</si>
  <si>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</si>
  <si>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</si>
  <si>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</si>
  <si>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</si>
  <si>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</si>
  <si>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</si>
  <si>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</si>
  <si>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</si>
  <si>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</si>
  <si>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</si>
  <si>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</si>
  <si>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</si>
  <si>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</si>
  <si>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</si>
  <si>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</si>
  <si>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</si>
  <si>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</si>
  <si>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</si>
  <si>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</si>
  <si>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</si>
  <si>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</si>
  <si>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</si>
  <si>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</si>
  <si>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</si>
  <si>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</si>
  <si>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</si>
  <si>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Call Duration</t>
  </si>
  <si>
    <t>5*calls</t>
  </si>
  <si>
    <t>Avg. Rating</t>
  </si>
  <si>
    <t xml:space="preserve">   </t>
  </si>
  <si>
    <t xml:space="preserve"> </t>
  </si>
  <si>
    <t>Sunday</t>
  </si>
  <si>
    <t>Tuesday</t>
  </si>
  <si>
    <t>Wednesday</t>
  </si>
  <si>
    <t>Thursday</t>
  </si>
  <si>
    <t>Saturday</t>
  </si>
  <si>
    <t>Monday</t>
  </si>
  <si>
    <t>Friday</t>
  </si>
  <si>
    <t>Row Labels</t>
  </si>
  <si>
    <t>Grand Total</t>
  </si>
  <si>
    <t>Jan</t>
  </si>
  <si>
    <t>Feb</t>
  </si>
  <si>
    <t>Mar</t>
  </si>
  <si>
    <t>Apr</t>
  </si>
  <si>
    <t>May</t>
  </si>
  <si>
    <t>Jun</t>
  </si>
  <si>
    <t>Jul</t>
  </si>
  <si>
    <t>Aug</t>
  </si>
  <si>
    <t>Sep</t>
  </si>
  <si>
    <t>Oct</t>
  </si>
  <si>
    <t>Nov</t>
  </si>
  <si>
    <t>Dec</t>
  </si>
  <si>
    <t>Call Count2</t>
  </si>
  <si>
    <t>rep</t>
  </si>
  <si>
    <t>col</t>
  </si>
  <si>
    <t>amount</t>
  </si>
  <si>
    <t>Sel. Calls</t>
  </si>
  <si>
    <t>Sel. amount</t>
  </si>
  <si>
    <t>Selected rep</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</si>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</sst>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C09]#,##0"/>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s>
  <fills count="5">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rgb="FFFF00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3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3" borderId="0" xfId="0" applyFill="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3" borderId="10" xfId="0" applyFill="1" applyBorder="1" applyAlignment="1">
      <alignment horizontal="right"/>
    </xf>
    <xf numFmtId="168" fontId="4" fillId="3" borderId="11" xfId="0" applyNumberFormat="1" applyFont="1" applyFill="1" applyBorder="1" applyAlignment="1">
      <alignment horizontal="right"/>
    </xf>
    <xf numFmtId="0" fontId="0" fillId="3" borderId="12" xfId="0" applyFill="1" applyBorder="1" applyAlignment="1">
      <alignment horizontal="right"/>
    </xf>
    <xf numFmtId="0" fontId="4" fillId="3" borderId="13" xfId="0" applyFont="1" applyFill="1" applyBorder="1"/>
    <xf numFmtId="0" fontId="0" fillId="3" borderId="14" xfId="0" applyFill="1" applyBorder="1"/>
    <xf numFmtId="168" fontId="4" fillId="3" borderId="0" xfId="0" applyNumberFormat="1" applyFont="1" applyFill="1"/>
    <xf numFmtId="0" fontId="0" fillId="3" borderId="13" xfId="0" applyFill="1" applyBorder="1"/>
    <xf numFmtId="0" fontId="0" fillId="3" borderId="15" xfId="0" applyFill="1" applyBorder="1"/>
    <xf numFmtId="0" fontId="0" fillId="3" borderId="16" xfId="0" applyFill="1" applyBorder="1"/>
    <xf numFmtId="0" fontId="0" fillId="3" borderId="17" xfId="0" applyFill="1" applyBorder="1"/>
  </cellXfs>
  <cellStyles count="1">
    <cellStyle name="Normal" xfId="0" builtinId="0"/>
  </cellStyles>
  <dxfs count="22">
    <dxf>
      <fill>
        <patternFill patternType="solid">
          <bgColor rgb="FFFF0000"/>
        </patternFill>
      </fill>
    </dxf>
    <dxf>
      <fill>
        <patternFill patternType="solid">
          <bgColor rgb="FFFF0000"/>
        </patternFill>
      </fill>
    </dxf>
    <dxf>
      <fill>
        <patternFill>
          <bgColor theme="7" tint="0.59996337778862885"/>
        </patternFill>
      </fill>
      <border>
        <left style="thin">
          <color theme="1" tint="0.14996795556505021"/>
        </left>
        <right style="thin">
          <color theme="1" tint="0.14996795556505021"/>
        </right>
        <top style="thin">
          <color theme="1" tint="0.24994659260841701"/>
        </top>
        <bottom style="thin">
          <color theme="1" tint="0.24994659260841701"/>
        </bottom>
        <vertical/>
        <horizontal/>
      </border>
    </dxf>
    <dxf>
      <fill>
        <patternFill>
          <bgColor theme="5" tint="0.39994506668294322"/>
        </patternFill>
      </fill>
      <border>
        <left style="thin">
          <color theme="1" tint="0.14996795556505021"/>
        </left>
        <right style="thin">
          <color theme="1" tint="0.1499679555650502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rgb="FFFF0000"/>
        </patternFill>
      </fil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1"/>
    </tableStyle>
    <tableStyle name="SlicerStyleDark2 2" pivot="0" table="0" count="10" xr9:uid="{B6436345-EA56-4D5E-8EDB-3F34ECA2D799}">
      <tableStyleElement type="wholeTable" dxfId="20"/>
      <tableStyleElement type="headerRow" dxfId="19"/>
    </tableStyle>
  </tableStyles>
  <colors>
    <mruColors>
      <color rgb="FFFEF8F4"/>
      <color rgb="FFFFAC79"/>
      <color rgb="FFFF33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2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[Dashboard.xlsx]calculation!weekly tends</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26622854108054"/>
          <c:y val="0"/>
          <c:w val="0.70173377145891946"/>
          <c:h val="0.87420171669182034"/>
        </c:manualLayout>
      </c:layout>
      <c:barChart>
        <c:barDir val="bar"/>
        <c:grouping val="clustered"/>
        <c:varyColors val="0"/>
        <c:ser>
          <c:idx val="0"/>
          <c:order val="0"/>
          <c:tx>
            <c:strRef>
              <c:f>calculation!$H$16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calculation!$G$17:$G$24</c:f>
              <c:strCache>
                <c:ptCount val="7"/>
                <c:pt idx="0">
                  <c:v>Sunday</c:v>
                </c:pt>
                <c:pt idx="1">
                  <c:v>Saturday</c:v>
                </c:pt>
                <c:pt idx="2">
                  <c:v>Friday</c:v>
                </c:pt>
                <c:pt idx="3">
                  <c:v>Thursday</c:v>
                </c:pt>
                <c:pt idx="4">
                  <c:v>Wednesday</c:v>
                </c:pt>
                <c:pt idx="5">
                  <c:v>Tuesday</c:v>
                </c:pt>
                <c:pt idx="6">
                  <c:v>Monday</c:v>
                </c:pt>
              </c:strCache>
            </c:strRef>
          </c:cat>
          <c:val>
            <c:numRef>
              <c:f>calculation!$H$17:$H$24</c:f>
              <c:numCache>
                <c:formatCode>#,##0</c:formatCode>
                <c:ptCount val="7"/>
                <c:pt idx="0">
                  <c:v>28</c:v>
                </c:pt>
                <c:pt idx="1">
                  <c:v>24</c:v>
                </c:pt>
                <c:pt idx="2">
                  <c:v>29</c:v>
                </c:pt>
                <c:pt idx="3">
                  <c:v>33</c:v>
                </c:pt>
                <c:pt idx="4">
                  <c:v>36</c:v>
                </c:pt>
                <c:pt idx="5">
                  <c:v>44</c:v>
                </c:pt>
                <c:pt idx="6">
                  <c:v>24</c:v>
                </c:pt>
              </c:numCache>
            </c:numRef>
          </c:val>
          <c:extLst>
            <c:ext xmlns:c16="http://schemas.microsoft.com/office/drawing/2014/chart" uri="{C3380CC4-5D6E-409C-BE32-E72D297353CC}">
              <c16:uniqueId val="{00000000-042B-4147-9FD7-8612C1CE9646}"/>
            </c:ext>
          </c:extLst>
        </c:ser>
        <c:dLbls>
          <c:dLblPos val="outEnd"/>
          <c:showLegendKey val="0"/>
          <c:showVal val="1"/>
          <c:showCatName val="0"/>
          <c:showSerName val="0"/>
          <c:showPercent val="0"/>
          <c:showBubbleSize val="0"/>
        </c:dLbls>
        <c:gapWidth val="25"/>
        <c:axId val="1639435584"/>
        <c:axId val="1639437504"/>
      </c:barChart>
      <c:catAx>
        <c:axId val="1639435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437504"/>
        <c:crosses val="autoZero"/>
        <c:auto val="1"/>
        <c:lblAlgn val="ctr"/>
        <c:lblOffset val="100"/>
        <c:noMultiLvlLbl val="0"/>
      </c:catAx>
      <c:valAx>
        <c:axId val="1639437504"/>
        <c:scaling>
          <c:orientation val="minMax"/>
        </c:scaling>
        <c:delete val="1"/>
        <c:axPos val="b"/>
        <c:numFmt formatCode="#,##0" sourceLinked="1"/>
        <c:majorTickMark val="out"/>
        <c:minorTickMark val="none"/>
        <c:tickLblPos val="nextTo"/>
        <c:crossAx val="163943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[Dashboard.xlsx]calculation!monthly trends</c:name>
    <c:fmtId val="14"/>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IN" b="1">
                <a:solidFill>
                  <a:srgbClr val="FF0000"/>
                </a:solidFill>
              </a:rPr>
              <a:t>Call</a:t>
            </a:r>
            <a:r>
              <a:rPr lang="en-IN" b="1" baseline="0">
                <a:solidFill>
                  <a:srgbClr val="FF0000"/>
                </a:solidFill>
              </a:rPr>
              <a:t> Trend</a:t>
            </a:r>
            <a:endParaRPr lang="en-IN" b="1">
              <a:solidFill>
                <a:srgbClr val="FF0000"/>
              </a:solidFill>
            </a:endParaRPr>
          </a:p>
        </c:rich>
      </c:tx>
      <c:layout>
        <c:manualLayout>
          <c:xMode val="edge"/>
          <c:yMode val="edge"/>
          <c:x val="5.0604115720652926E-3"/>
          <c:y val="1.384083044982699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F0000"/>
              </a:gs>
              <a:gs pos="100000">
                <a:schemeClr val="accent1">
                  <a:lumMod val="45000"/>
                  <a:lumOff val="55000"/>
                </a:schemeClr>
              </a:gs>
              <a:gs pos="95000">
                <a:srgbClr val="FFC00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7"/>
          <c:spPr>
            <a:solidFill>
              <a:schemeClr val="bg1"/>
            </a:solidFill>
            <a:ln w="25400">
              <a:solidFill>
                <a:srgbClr val="002060">
                  <a:alpha val="71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69816272965876E-2"/>
          <c:y val="0.25402559055118112"/>
          <c:w val="0.74380774278215223"/>
          <c:h val="0.53811424613589964"/>
        </c:manualLayout>
      </c:layout>
      <c:areaChart>
        <c:grouping val="standard"/>
        <c:varyColors val="0"/>
        <c:ser>
          <c:idx val="1"/>
          <c:order val="1"/>
          <c:tx>
            <c:strRef>
              <c:f>calculation!$C$15</c:f>
              <c:strCache>
                <c:ptCount val="1"/>
                <c:pt idx="0">
                  <c:v>Call Count2</c:v>
                </c:pt>
              </c:strCache>
            </c:strRef>
          </c:tx>
          <c:spPr>
            <a:gradFill>
              <a:gsLst>
                <a:gs pos="0">
                  <a:srgbClr val="FF0000"/>
                </a:gs>
                <a:gs pos="100000">
                  <a:schemeClr val="accent1">
                    <a:lumMod val="45000"/>
                    <a:lumOff val="55000"/>
                  </a:schemeClr>
                </a:gs>
                <a:gs pos="95000">
                  <a:srgbClr val="FFC000"/>
                </a:gs>
                <a:gs pos="100000">
                  <a:schemeClr val="accent1">
                    <a:lumMod val="30000"/>
                    <a:lumOff val="70000"/>
                  </a:schemeClr>
                </a:gs>
              </a:gsLst>
              <a:lin ang="5400000" scaled="1"/>
            </a:gradFill>
            <a:ln>
              <a:noFill/>
            </a:ln>
            <a:effectLst/>
          </c:spPr>
          <c:cat>
            <c:strRef>
              <c:f>calculation!$A$16:$A$28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calculation!$C$16:$C$28</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0289-4286-936F-742EF6CFEB07}"/>
            </c:ext>
          </c:extLst>
        </c:ser>
        <c:dLbls>
          <c:showLegendKey val="0"/>
          <c:showVal val="0"/>
          <c:showCatName val="0"/>
          <c:showSerName val="0"/>
          <c:showPercent val="0"/>
          <c:showBubbleSize val="0"/>
        </c:dLbls>
        <c:axId val="995439376"/>
        <c:axId val="995438416"/>
      </c:areaChart>
      <c:lineChart>
        <c:grouping val="standard"/>
        <c:varyColors val="0"/>
        <c:ser>
          <c:idx val="0"/>
          <c:order val="0"/>
          <c:tx>
            <c:strRef>
              <c:f>calculation!$B$15</c:f>
              <c:strCache>
                <c:ptCount val="1"/>
                <c:pt idx="0">
                  <c:v>Call Count</c:v>
                </c:pt>
              </c:strCache>
            </c:strRef>
          </c:tx>
          <c:spPr>
            <a:ln w="28575" cap="rnd">
              <a:solidFill>
                <a:srgbClr val="C00000"/>
              </a:solidFill>
              <a:round/>
            </a:ln>
            <a:effectLst/>
          </c:spPr>
          <c:marker>
            <c:symbol val="circle"/>
            <c:size val="7"/>
            <c:spPr>
              <a:solidFill>
                <a:schemeClr val="bg1"/>
              </a:solidFill>
              <a:ln w="25400">
                <a:solidFill>
                  <a:srgbClr val="002060">
                    <a:alpha val="71000"/>
                  </a:srgbClr>
                </a:solidFill>
              </a:ln>
              <a:effectLst/>
            </c:spPr>
          </c:marker>
          <c:cat>
            <c:strRef>
              <c:f>calculation!$A$16:$A$28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calculation!$B$16:$B$28</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0289-4286-936F-742EF6CFEB07}"/>
            </c:ext>
          </c:extLst>
        </c:ser>
        <c:dLbls>
          <c:showLegendKey val="0"/>
          <c:showVal val="0"/>
          <c:showCatName val="0"/>
          <c:showSerName val="0"/>
          <c:showPercent val="0"/>
          <c:showBubbleSize val="0"/>
        </c:dLbls>
        <c:marker val="1"/>
        <c:smooth val="0"/>
        <c:axId val="995439376"/>
        <c:axId val="995438416"/>
      </c:lineChart>
      <c:catAx>
        <c:axId val="99543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438416"/>
        <c:crosses val="autoZero"/>
        <c:auto val="1"/>
        <c:lblAlgn val="ctr"/>
        <c:lblOffset val="100"/>
        <c:noMultiLvlLbl val="0"/>
      </c:catAx>
      <c:valAx>
        <c:axId val="995438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43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IN" b="1">
                <a:solidFill>
                  <a:srgbClr val="FF0000"/>
                </a:solidFill>
              </a:rPr>
              <a:t>Calls</a:t>
            </a:r>
          </a:p>
        </c:rich>
      </c:tx>
      <c:layout>
        <c:manualLayout>
          <c:xMode val="edge"/>
          <c:yMode val="edge"/>
          <c:x val="0.20599418997719399"/>
          <c:y val="3.93463809296191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calculation!$K$21:$K$25</c:f>
              <c:strCache>
                <c:ptCount val="5"/>
                <c:pt idx="0">
                  <c:v>R01</c:v>
                </c:pt>
                <c:pt idx="1">
                  <c:v>R02</c:v>
                </c:pt>
                <c:pt idx="2">
                  <c:v>R03</c:v>
                </c:pt>
                <c:pt idx="3">
                  <c:v>R04</c:v>
                </c:pt>
                <c:pt idx="4">
                  <c:v>R05</c:v>
                </c:pt>
              </c:strCache>
            </c:strRef>
          </c:cat>
          <c:val>
            <c:numRef>
              <c:f>calculation!$M$21:$M$25</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8C9-4E37-8A2E-7ED04E13B7D3}"/>
            </c:ext>
          </c:extLst>
        </c:ser>
        <c:ser>
          <c:idx val="1"/>
          <c:order val="1"/>
          <c:tx>
            <c:strRef>
              <c:f>calculation!$O$20</c:f>
              <c:strCache>
                <c:ptCount val="1"/>
                <c:pt idx="0">
                  <c:v>Sel. amount</c:v>
                </c:pt>
              </c:strCache>
            </c:strRef>
          </c:tx>
          <c:spPr>
            <a:gradFill>
              <a:gsLst>
                <a:gs pos="46000">
                  <a:srgbClr val="FF3300"/>
                </a:gs>
                <a:gs pos="90000">
                  <a:schemeClr val="accent2">
                    <a:lumMod val="75000"/>
                  </a:schemeClr>
                </a:gs>
              </a:gsLst>
              <a:lin ang="5400000" scaled="1"/>
            </a:gradFill>
            <a:ln>
              <a:noFill/>
            </a:ln>
            <a:effectLst/>
          </c:spPr>
          <c:invertIfNegative val="0"/>
          <c:dLbls>
            <c:delete val="1"/>
          </c:dLbls>
          <c:val>
            <c:numRef>
              <c:f>calculation!$O$21:$O$25</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18C9-4E37-8A2E-7ED04E13B7D3}"/>
            </c:ext>
          </c:extLst>
        </c:ser>
        <c:dLbls>
          <c:dLblPos val="outEnd"/>
          <c:showLegendKey val="0"/>
          <c:showVal val="1"/>
          <c:showCatName val="0"/>
          <c:showSerName val="0"/>
          <c:showPercent val="0"/>
          <c:showBubbleSize val="0"/>
        </c:dLbls>
        <c:gapWidth val="25"/>
        <c:overlap val="100"/>
        <c:axId val="1639441344"/>
        <c:axId val="1639450464"/>
      </c:barChart>
      <c:catAx>
        <c:axId val="163944134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450464"/>
        <c:crosses val="autoZero"/>
        <c:auto val="1"/>
        <c:lblAlgn val="ctr"/>
        <c:lblOffset val="100"/>
        <c:noMultiLvlLbl val="0"/>
      </c:catAx>
      <c:valAx>
        <c:axId val="1639450464"/>
        <c:scaling>
          <c:orientation val="minMax"/>
        </c:scaling>
        <c:delete val="1"/>
        <c:axPos val="t"/>
        <c:numFmt formatCode="\$#,###.0,&quot;k&quot;" sourceLinked="1"/>
        <c:majorTickMark val="out"/>
        <c:minorTickMark val="none"/>
        <c:tickLblPos val="nextTo"/>
        <c:crossAx val="163944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Amount</a:t>
            </a:r>
          </a:p>
        </c:rich>
      </c:tx>
      <c:layout>
        <c:manualLayout>
          <c:xMode val="edge"/>
          <c:yMode val="edge"/>
          <c:x val="0.20655381270383597"/>
          <c:y val="3.36832799204331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537439937502058"/>
          <c:y val="0.15718863962868826"/>
          <c:w val="0.69157546712539675"/>
          <c:h val="0.81474196043761737"/>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calculation!$K$21:$K$25</c:f>
              <c:strCache>
                <c:ptCount val="5"/>
                <c:pt idx="0">
                  <c:v>R01</c:v>
                </c:pt>
                <c:pt idx="1">
                  <c:v>R02</c:v>
                </c:pt>
                <c:pt idx="2">
                  <c:v>R03</c:v>
                </c:pt>
                <c:pt idx="3">
                  <c:v>R04</c:v>
                </c:pt>
                <c:pt idx="4">
                  <c:v>R05</c:v>
                </c:pt>
              </c:strCache>
            </c:strRef>
          </c:cat>
          <c:val>
            <c:numRef>
              <c:f>calculation!$L$21:$L$25</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4DC-4BB4-A6DB-DB77C5AF944C}"/>
            </c:ext>
          </c:extLst>
        </c:ser>
        <c:ser>
          <c:idx val="1"/>
          <c:order val="1"/>
          <c:tx>
            <c:strRef>
              <c:f>calculation!$N$20</c:f>
              <c:strCache>
                <c:ptCount val="1"/>
                <c:pt idx="0">
                  <c:v>Sel. Calls</c:v>
                </c:pt>
              </c:strCache>
            </c:strRef>
          </c:tx>
          <c:spPr>
            <a:gradFill>
              <a:gsLst>
                <a:gs pos="0">
                  <a:srgbClr val="FFAC79"/>
                </a:gs>
                <a:gs pos="100000">
                  <a:schemeClr val="accent2">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calculation!$N$21:$N$25</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14DC-4BB4-A6DB-DB77C5AF944C}"/>
            </c:ext>
          </c:extLst>
        </c:ser>
        <c:dLbls>
          <c:dLblPos val="outEnd"/>
          <c:showLegendKey val="0"/>
          <c:showVal val="1"/>
          <c:showCatName val="0"/>
          <c:showSerName val="0"/>
          <c:showPercent val="0"/>
          <c:showBubbleSize val="0"/>
        </c:dLbls>
        <c:gapWidth val="25"/>
        <c:overlap val="100"/>
        <c:axId val="1735552480"/>
        <c:axId val="1735554400"/>
      </c:barChart>
      <c:catAx>
        <c:axId val="17355524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54400"/>
        <c:crosses val="autoZero"/>
        <c:auto val="1"/>
        <c:lblAlgn val="ctr"/>
        <c:lblOffset val="100"/>
        <c:noMultiLvlLbl val="0"/>
      </c:catAx>
      <c:valAx>
        <c:axId val="1735554400"/>
        <c:scaling>
          <c:orientation val="minMax"/>
          <c:min val="0"/>
        </c:scaling>
        <c:delete val="1"/>
        <c:axPos val="t"/>
        <c:numFmt formatCode="#,##0" sourceLinked="1"/>
        <c:majorTickMark val="none"/>
        <c:minorTickMark val="none"/>
        <c:tickLblPos val="nextTo"/>
        <c:crossAx val="173555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solidFill>
                  <a:srgbClr val="FF0000"/>
                </a:solidFill>
              </a:rPr>
              <a:t>Male</a:t>
            </a:r>
            <a:r>
              <a:rPr lang="en-IN" sz="900" b="1" baseline="0">
                <a:solidFill>
                  <a:srgbClr val="FF0000"/>
                </a:solidFill>
              </a:rPr>
              <a:t> VS FEMALE CALLERS</a:t>
            </a:r>
            <a:endParaRPr lang="en-IN" sz="9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lt1">
                <a:alpha val="50000"/>
              </a:schemeClr>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lt1">
                <a:alpha val="50000"/>
              </a:schemeClr>
            </a:solidFill>
            <a:ln w="12700" cap="flat" cmpd="sng" algn="ctr">
              <a:solidFill>
                <a:schemeClr val="accent6"/>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calculation!$C$50:$C$51</c:f>
              <c:strCache>
                <c:ptCount val="1"/>
                <c:pt idx="0">
                  <c:v>Female</c:v>
                </c:pt>
              </c:strCache>
            </c:strRef>
          </c:tx>
          <c:spPr>
            <a:solidFill>
              <a:schemeClr val="accent1"/>
            </a:solidFill>
            <a:ln>
              <a:noFill/>
            </a:ln>
            <a:effectLst/>
          </c:spPr>
          <c:invertIfNegative val="0"/>
          <c:dLbls>
            <c:spPr>
              <a:solidFill>
                <a:schemeClr val="lt1">
                  <a:alpha val="50000"/>
                </a:schemeClr>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calculation!$B$52:$B$55</c:f>
              <c:strCache>
                <c:ptCount val="3"/>
                <c:pt idx="0">
                  <c:v>Cincinnati</c:v>
                </c:pt>
                <c:pt idx="1">
                  <c:v>Cleveland</c:v>
                </c:pt>
                <c:pt idx="2">
                  <c:v>Columbus</c:v>
                </c:pt>
              </c:strCache>
            </c:strRef>
          </c:cat>
          <c:val>
            <c:numRef>
              <c:f>calculation!$C$52:$C$55</c:f>
              <c:numCache>
                <c:formatCode>#,##0</c:formatCode>
                <c:ptCount val="3"/>
                <c:pt idx="0">
                  <c:v>144</c:v>
                </c:pt>
                <c:pt idx="1">
                  <c:v>326</c:v>
                </c:pt>
                <c:pt idx="2">
                  <c:v>129</c:v>
                </c:pt>
              </c:numCache>
            </c:numRef>
          </c:val>
          <c:extLst>
            <c:ext xmlns:c16="http://schemas.microsoft.com/office/drawing/2014/chart" uri="{C3380CC4-5D6E-409C-BE32-E72D297353CC}">
              <c16:uniqueId val="{00000000-13A6-4E51-866D-7D999731F0C5}"/>
            </c:ext>
          </c:extLst>
        </c:ser>
        <c:ser>
          <c:idx val="1"/>
          <c:order val="1"/>
          <c:tx>
            <c:strRef>
              <c:f>calculation!$D$50:$D$51</c:f>
              <c:strCache>
                <c:ptCount val="1"/>
                <c:pt idx="0">
                  <c:v>Male</c:v>
                </c:pt>
              </c:strCache>
            </c:strRef>
          </c:tx>
          <c:spPr>
            <a:solidFill>
              <a:schemeClr val="accent2"/>
            </a:solidFill>
            <a:ln>
              <a:noFill/>
            </a:ln>
            <a:effectLst/>
          </c:spPr>
          <c:invertIfNegative val="0"/>
          <c:dLbls>
            <c:spPr>
              <a:solidFill>
                <a:schemeClr val="lt1">
                  <a:alpha val="50000"/>
                </a:schemeClr>
              </a:solidFill>
              <a:ln w="12700" cap="flat" cmpd="sng" algn="ctr">
                <a:solidFill>
                  <a:schemeClr val="accent6"/>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calculation!$B$52:$B$55</c:f>
              <c:strCache>
                <c:ptCount val="3"/>
                <c:pt idx="0">
                  <c:v>Cincinnati</c:v>
                </c:pt>
                <c:pt idx="1">
                  <c:v>Cleveland</c:v>
                </c:pt>
                <c:pt idx="2">
                  <c:v>Columbus</c:v>
                </c:pt>
              </c:strCache>
            </c:strRef>
          </c:cat>
          <c:val>
            <c:numRef>
              <c:f>calculation!$D$52:$D$55</c:f>
              <c:numCache>
                <c:formatCode>#,##0</c:formatCode>
                <c:ptCount val="3"/>
                <c:pt idx="0">
                  <c:v>132</c:v>
                </c:pt>
                <c:pt idx="1">
                  <c:v>63</c:v>
                </c:pt>
                <c:pt idx="2">
                  <c:v>206</c:v>
                </c:pt>
              </c:numCache>
            </c:numRef>
          </c:val>
          <c:extLst>
            <c:ext xmlns:c16="http://schemas.microsoft.com/office/drawing/2014/chart" uri="{C3380CC4-5D6E-409C-BE32-E72D297353CC}">
              <c16:uniqueId val="{00000001-13A6-4E51-866D-7D999731F0C5}"/>
            </c:ext>
          </c:extLst>
        </c:ser>
        <c:dLbls>
          <c:showLegendKey val="0"/>
          <c:showVal val="0"/>
          <c:showCatName val="0"/>
          <c:showSerName val="0"/>
          <c:showPercent val="0"/>
          <c:showBubbleSize val="0"/>
        </c:dLbls>
        <c:gapWidth val="25"/>
        <c:overlap val="100"/>
        <c:axId val="1069250528"/>
        <c:axId val="1069253888"/>
      </c:barChart>
      <c:catAx>
        <c:axId val="1069250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253888"/>
        <c:crosses val="autoZero"/>
        <c:auto val="1"/>
        <c:lblAlgn val="ctr"/>
        <c:lblOffset val="100"/>
        <c:noMultiLvlLbl val="0"/>
      </c:catAx>
      <c:valAx>
        <c:axId val="1069253888"/>
        <c:scaling>
          <c:orientation val="minMax"/>
        </c:scaling>
        <c:delete val="1"/>
        <c:axPos val="l"/>
        <c:numFmt formatCode="0%" sourceLinked="1"/>
        <c:majorTickMark val="out"/>
        <c:minorTickMark val="none"/>
        <c:tickLblPos val="nextTo"/>
        <c:crossAx val="106925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[Dashboard.xlsx]calculation!rep satisfaction </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C00000"/>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solidFill>
              <a:schemeClr val="dk1">
                <a:alpha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calculation!$C$59</c:f>
              <c:strCache>
                <c:ptCount val="1"/>
                <c:pt idx="0">
                  <c:v>Total</c:v>
                </c:pt>
              </c:strCache>
            </c:strRef>
          </c:tx>
          <c:spPr>
            <a:solidFill>
              <a:schemeClr val="accent2">
                <a:lumMod val="40000"/>
                <a:lumOff val="60000"/>
              </a:schemeClr>
            </a:solidFill>
            <a:ln>
              <a:solidFill>
                <a:schemeClr val="dk1">
                  <a:alpha val="85000"/>
                </a:schemeClr>
              </a:solidFill>
            </a:ln>
            <a:effectLst/>
          </c:spPr>
          <c:invertIfNegative val="0"/>
          <c:cat>
            <c:strRef>
              <c:f>calculation!$B$60:$B$65</c:f>
              <c:strCache>
                <c:ptCount val="5"/>
                <c:pt idx="0">
                  <c:v>1</c:v>
                </c:pt>
                <c:pt idx="1">
                  <c:v>2</c:v>
                </c:pt>
                <c:pt idx="2">
                  <c:v>3</c:v>
                </c:pt>
                <c:pt idx="3">
                  <c:v>4</c:v>
                </c:pt>
                <c:pt idx="4">
                  <c:v>5</c:v>
                </c:pt>
              </c:strCache>
            </c:strRef>
          </c:cat>
          <c:val>
            <c:numRef>
              <c:f>calculation!$C$60:$C$65</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97B4-445E-BEC8-9ADE606D002E}"/>
            </c:ext>
          </c:extLst>
        </c:ser>
        <c:dLbls>
          <c:showLegendKey val="0"/>
          <c:showVal val="0"/>
          <c:showCatName val="0"/>
          <c:showSerName val="0"/>
          <c:showPercent val="0"/>
          <c:showBubbleSize val="0"/>
        </c:dLbls>
        <c:gapWidth val="10"/>
        <c:overlap val="-27"/>
        <c:axId val="930282416"/>
        <c:axId val="930268016"/>
      </c:barChart>
      <c:catAx>
        <c:axId val="93028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268016"/>
        <c:crosses val="autoZero"/>
        <c:auto val="1"/>
        <c:lblAlgn val="ctr"/>
        <c:lblOffset val="100"/>
        <c:noMultiLvlLbl val="0"/>
      </c:catAx>
      <c:valAx>
        <c:axId val="930268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28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9.svg"/><Relationship Id="rId13" Type="http://schemas.openxmlformats.org/officeDocument/2006/relationships/chart" Target="../charts/chart2.xml"/><Relationship Id="rId3" Type="http://schemas.openxmlformats.org/officeDocument/2006/relationships/image" Target="../media/image14.svg"/><Relationship Id="rId7" Type="http://schemas.openxmlformats.org/officeDocument/2006/relationships/image" Target="../media/image18.png"/><Relationship Id="rId12" Type="http://schemas.openxmlformats.org/officeDocument/2006/relationships/image" Target="../media/image23.svg"/><Relationship Id="rId17" Type="http://schemas.openxmlformats.org/officeDocument/2006/relationships/chart" Target="../charts/chart6.xml"/><Relationship Id="rId2" Type="http://schemas.openxmlformats.org/officeDocument/2006/relationships/image" Target="../media/image13.png"/><Relationship Id="rId16" Type="http://schemas.openxmlformats.org/officeDocument/2006/relationships/chart" Target="../charts/chart5.xml"/><Relationship Id="rId1" Type="http://schemas.openxmlformats.org/officeDocument/2006/relationships/chart" Target="../charts/chart1.xml"/><Relationship Id="rId6" Type="http://schemas.openxmlformats.org/officeDocument/2006/relationships/image" Target="../media/image17.svg"/><Relationship Id="rId11" Type="http://schemas.openxmlformats.org/officeDocument/2006/relationships/image" Target="../media/image22.png"/><Relationship Id="rId5" Type="http://schemas.openxmlformats.org/officeDocument/2006/relationships/image" Target="../media/image16.png"/><Relationship Id="rId15" Type="http://schemas.openxmlformats.org/officeDocument/2006/relationships/chart" Target="../charts/chart4.xml"/><Relationship Id="rId10" Type="http://schemas.openxmlformats.org/officeDocument/2006/relationships/image" Target="../media/image21.svg"/><Relationship Id="rId4" Type="http://schemas.openxmlformats.org/officeDocument/2006/relationships/image" Target="../media/image15.svg"/><Relationship Id="rId9" Type="http://schemas.openxmlformats.org/officeDocument/2006/relationships/image" Target="../media/image20.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254000</xdr:colOff>
      <xdr:row>1</xdr:row>
      <xdr:rowOff>164637</xdr:rowOff>
    </xdr:from>
    <xdr:to>
      <xdr:col>4</xdr:col>
      <xdr:colOff>663650</xdr:colOff>
      <xdr:row>3</xdr:row>
      <xdr:rowOff>53587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95600" y="348787"/>
          <a:ext cx="409650" cy="396950"/>
        </a:xfrm>
        <a:prstGeom prst="rect">
          <a:avLst/>
        </a:prstGeom>
      </xdr:spPr>
    </xdr:pic>
    <xdr:clientData/>
  </xdr:twoCellAnchor>
  <xdr:twoCellAnchor editAs="oneCell">
    <xdr:from>
      <xdr:col>1</xdr:col>
      <xdr:colOff>552450</xdr:colOff>
      <xdr:row>1</xdr:row>
      <xdr:rowOff>148375</xdr:rowOff>
    </xdr:from>
    <xdr:to>
      <xdr:col>2</xdr:col>
      <xdr:colOff>301700</xdr:colOff>
      <xdr:row>3</xdr:row>
      <xdr:rowOff>43675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2850" y="332525"/>
          <a:ext cx="409650" cy="403300"/>
        </a:xfrm>
        <a:prstGeom prst="rect">
          <a:avLst/>
        </a:prstGeom>
      </xdr:spPr>
    </xdr:pic>
    <xdr:clientData/>
  </xdr:twoCellAnchor>
  <xdr:twoCellAnchor editAs="oneCell">
    <xdr:from>
      <xdr:col>6</xdr:col>
      <xdr:colOff>139700</xdr:colOff>
      <xdr:row>1</xdr:row>
      <xdr:rowOff>168200</xdr:rowOff>
    </xdr:from>
    <xdr:to>
      <xdr:col>6</xdr:col>
      <xdr:colOff>549350</xdr:colOff>
      <xdr:row>3</xdr:row>
      <xdr:rowOff>50800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56100" y="352350"/>
          <a:ext cx="409650" cy="390600"/>
        </a:xfrm>
        <a:prstGeom prst="rect">
          <a:avLst/>
        </a:prstGeom>
      </xdr:spPr>
    </xdr:pic>
    <xdr:clientData/>
  </xdr:twoCellAnchor>
  <xdr:twoCellAnchor editAs="oneCell">
    <xdr:from>
      <xdr:col>3</xdr:col>
      <xdr:colOff>88900</xdr:colOff>
      <xdr:row>1</xdr:row>
      <xdr:rowOff>143806</xdr:rowOff>
    </xdr:from>
    <xdr:to>
      <xdr:col>3</xdr:col>
      <xdr:colOff>498550</xdr:colOff>
      <xdr:row>3</xdr:row>
      <xdr:rowOff>44335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70100" y="327956"/>
          <a:ext cx="409650" cy="408529"/>
        </a:xfrm>
        <a:prstGeom prst="rect">
          <a:avLst/>
        </a:prstGeom>
      </xdr:spPr>
    </xdr:pic>
    <xdr:clientData/>
  </xdr:twoCellAnchor>
  <xdr:twoCellAnchor editAs="oneCell">
    <xdr:from>
      <xdr:col>5</xdr:col>
      <xdr:colOff>292100</xdr:colOff>
      <xdr:row>1</xdr:row>
      <xdr:rowOff>134668</xdr:rowOff>
    </xdr:from>
    <xdr:to>
      <xdr:col>5</xdr:col>
      <xdr:colOff>701750</xdr:colOff>
      <xdr:row>3</xdr:row>
      <xdr:rowOff>23618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759200" y="318818"/>
          <a:ext cx="409650" cy="396950"/>
        </a:xfrm>
        <a:prstGeom prst="rect">
          <a:avLst/>
        </a:prstGeom>
      </xdr:spPr>
    </xdr:pic>
    <xdr:clientData/>
  </xdr:twoCellAnchor>
  <xdr:twoCellAnchor editAs="oneCell">
    <xdr:from>
      <xdr:col>7</xdr:col>
      <xdr:colOff>120649</xdr:colOff>
      <xdr:row>1</xdr:row>
      <xdr:rowOff>170599</xdr:rowOff>
    </xdr:from>
    <xdr:to>
      <xdr:col>7</xdr:col>
      <xdr:colOff>532129</xdr:colOff>
      <xdr:row>3</xdr:row>
      <xdr:rowOff>61379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4997449" y="354749"/>
          <a:ext cx="411480" cy="398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311004</xdr:colOff>
      <xdr:row>15</xdr:row>
      <xdr:rowOff>115544</xdr:rowOff>
    </xdr:from>
    <xdr:to>
      <xdr:col>11</xdr:col>
      <xdr:colOff>495153</xdr:colOff>
      <xdr:row>25</xdr:row>
      <xdr:rowOff>154700</xdr:rowOff>
    </xdr:to>
    <mc:AlternateContent xmlns:mc="http://schemas.openxmlformats.org/markup-compatibility/2006" xmlns:a14="http://schemas.microsoft.com/office/drawing/2010/main">
      <mc:Choice Requires="a14">
        <xdr:graphicFrame macro="">
          <xdr:nvGraphicFramePr>
            <xdr:cNvPr id="53" name="Representative">
              <a:extLst>
                <a:ext uri="{FF2B5EF4-FFF2-40B4-BE49-F238E27FC236}">
                  <a16:creationId xmlns:a16="http://schemas.microsoft.com/office/drawing/2014/main" id="{DF0D889F-8FE2-4C4D-BF89-921AE482FAD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599647" y="2836973"/>
              <a:ext cx="1508577" cy="1853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73839</xdr:colOff>
      <xdr:row>1</xdr:row>
      <xdr:rowOff>81643</xdr:rowOff>
    </xdr:from>
    <xdr:to>
      <xdr:col>10</xdr:col>
      <xdr:colOff>302735</xdr:colOff>
      <xdr:row>10</xdr:row>
      <xdr:rowOff>18143</xdr:rowOff>
    </xdr:to>
    <xdr:graphicFrame macro="">
      <xdr:nvGraphicFramePr>
        <xdr:cNvPr id="4" name="Chart 3">
          <a:extLst>
            <a:ext uri="{FF2B5EF4-FFF2-40B4-BE49-F238E27FC236}">
              <a16:creationId xmlns:a16="http://schemas.microsoft.com/office/drawing/2014/main" id="{A4DB9738-05B7-4920-A739-83E2EA6CE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241300</xdr:colOff>
      <xdr:row>2</xdr:row>
      <xdr:rowOff>172925</xdr:rowOff>
    </xdr:from>
    <xdr:to>
      <xdr:col>3</xdr:col>
      <xdr:colOff>381000</xdr:colOff>
      <xdr:row>6</xdr:row>
      <xdr:rowOff>59303</xdr:rowOff>
    </xdr:to>
    <xdr:sp macro="" textlink="calculation!A4">
      <xdr:nvSpPr>
        <xdr:cNvPr id="2" name="Rectangle 1">
          <a:extLst>
            <a:ext uri="{FF2B5EF4-FFF2-40B4-BE49-F238E27FC236}">
              <a16:creationId xmlns:a16="http://schemas.microsoft.com/office/drawing/2014/main" id="{6F5250B1-F9AA-87BB-DE31-E8104B74787F}"/>
            </a:ext>
          </a:extLst>
        </xdr:cNvPr>
        <xdr:cNvSpPr/>
      </xdr:nvSpPr>
      <xdr:spPr>
        <a:xfrm>
          <a:off x="894443" y="535782"/>
          <a:ext cx="801914" cy="612092"/>
        </a:xfrm>
        <a:prstGeom prst="rect">
          <a:avLst/>
        </a:prstGeom>
        <a:solidFill>
          <a:schemeClr val="accent2"/>
        </a:solidFill>
        <a:effectLst>
          <a:outerShdw blurRad="254000" dist="127000" dir="2700000" algn="tl" rotWithShape="0">
            <a:prstClr val="black">
              <a:alpha val="4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F2D751-96C9-4221-BF9D-55BB804051DD}" type="TxLink">
            <a:rPr lang="en-US" sz="1400" b="1" i="0" u="none" strike="noStrike">
              <a:solidFill>
                <a:schemeClr val="bg1"/>
              </a:solidFill>
              <a:latin typeface="Aptos"/>
            </a:rPr>
            <a:pPr algn="ctr"/>
            <a:t>1,000</a:t>
          </a:fld>
          <a:endParaRPr lang="en-IN" sz="900" b="1">
            <a:solidFill>
              <a:schemeClr val="bg1"/>
            </a:solidFill>
          </a:endParaRPr>
        </a:p>
      </xdr:txBody>
    </xdr:sp>
    <xdr:clientData/>
  </xdr:twoCellAnchor>
  <xdr:twoCellAnchor>
    <xdr:from>
      <xdr:col>2</xdr:col>
      <xdr:colOff>463550</xdr:colOff>
      <xdr:row>3</xdr:row>
      <xdr:rowOff>33635</xdr:rowOff>
    </xdr:from>
    <xdr:to>
      <xdr:col>3</xdr:col>
      <xdr:colOff>304800</xdr:colOff>
      <xdr:row>4</xdr:row>
      <xdr:rowOff>36216</xdr:rowOff>
    </xdr:to>
    <xdr:sp macro="" textlink="">
      <xdr:nvSpPr>
        <xdr:cNvPr id="5" name="TextBox 4">
          <a:extLst>
            <a:ext uri="{FF2B5EF4-FFF2-40B4-BE49-F238E27FC236}">
              <a16:creationId xmlns:a16="http://schemas.microsoft.com/office/drawing/2014/main" id="{CC98B363-22CA-2781-9B95-0E055C3300F5}"/>
            </a:ext>
          </a:extLst>
        </xdr:cNvPr>
        <xdr:cNvSpPr txBox="1"/>
      </xdr:nvSpPr>
      <xdr:spPr>
        <a:xfrm>
          <a:off x="1116693" y="577921"/>
          <a:ext cx="503464" cy="18400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700" b="1">
              <a:solidFill>
                <a:schemeClr val="bg1"/>
              </a:solidFill>
            </a:rPr>
            <a:t>calls</a:t>
          </a:r>
        </a:p>
      </xdr:txBody>
    </xdr:sp>
    <xdr:clientData/>
  </xdr:twoCellAnchor>
  <xdr:twoCellAnchor editAs="oneCell">
    <xdr:from>
      <xdr:col>2</xdr:col>
      <xdr:colOff>280470</xdr:colOff>
      <xdr:row>3</xdr:row>
      <xdr:rowOff>17939</xdr:rowOff>
    </xdr:from>
    <xdr:to>
      <xdr:col>2</xdr:col>
      <xdr:colOff>438034</xdr:colOff>
      <xdr:row>3</xdr:row>
      <xdr:rowOff>169132</xdr:rowOff>
    </xdr:to>
    <xdr:pic>
      <xdr:nvPicPr>
        <xdr:cNvPr id="6" name="Graphic 5" descr="Receiver with solid fill">
          <a:extLst>
            <a:ext uri="{FF2B5EF4-FFF2-40B4-BE49-F238E27FC236}">
              <a16:creationId xmlns:a16="http://schemas.microsoft.com/office/drawing/2014/main" id="{8B6E54BC-5ECF-4445-8792-32C0463D0DA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80127">
          <a:off x="933613" y="562225"/>
          <a:ext cx="157564" cy="151193"/>
        </a:xfrm>
        <a:prstGeom prst="rect">
          <a:avLst/>
        </a:prstGeom>
      </xdr:spPr>
    </xdr:pic>
    <xdr:clientData/>
  </xdr:twoCellAnchor>
  <xdr:twoCellAnchor>
    <xdr:from>
      <xdr:col>2</xdr:col>
      <xdr:colOff>361950</xdr:colOff>
      <xdr:row>5</xdr:row>
      <xdr:rowOff>7749</xdr:rowOff>
    </xdr:from>
    <xdr:to>
      <xdr:col>3</xdr:col>
      <xdr:colOff>247650</xdr:colOff>
      <xdr:row>6</xdr:row>
      <xdr:rowOff>30351</xdr:rowOff>
    </xdr:to>
    <xdr:sp macro="" textlink="calculation!A8">
      <xdr:nvSpPr>
        <xdr:cNvPr id="7" name="TextBox 6">
          <a:extLst>
            <a:ext uri="{FF2B5EF4-FFF2-40B4-BE49-F238E27FC236}">
              <a16:creationId xmlns:a16="http://schemas.microsoft.com/office/drawing/2014/main" id="{31C5D193-382D-FC7A-EF4A-944A4BD60D0C}"/>
            </a:ext>
          </a:extLst>
        </xdr:cNvPr>
        <xdr:cNvSpPr txBox="1"/>
      </xdr:nvSpPr>
      <xdr:spPr>
        <a:xfrm>
          <a:off x="1015093" y="914892"/>
          <a:ext cx="547914" cy="204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A47CB0C-C961-496B-91B2-26A669D0C2EA}" type="TxLink">
            <a:rPr lang="en-US" sz="700" b="1" i="0" u="none" strike="noStrike">
              <a:solidFill>
                <a:schemeClr val="tx1"/>
              </a:solidFill>
              <a:latin typeface="Aptos"/>
            </a:rPr>
            <a:pPr algn="ctr"/>
            <a:t>218</a:t>
          </a:fld>
          <a:endParaRPr lang="en-IN" sz="700" b="1">
            <a:solidFill>
              <a:schemeClr val="tx1"/>
            </a:solidFill>
          </a:endParaRPr>
        </a:p>
      </xdr:txBody>
    </xdr:sp>
    <xdr:clientData/>
  </xdr:twoCellAnchor>
  <xdr:twoCellAnchor>
    <xdr:from>
      <xdr:col>2</xdr:col>
      <xdr:colOff>241300</xdr:colOff>
      <xdr:row>11</xdr:row>
      <xdr:rowOff>23571</xdr:rowOff>
    </xdr:from>
    <xdr:to>
      <xdr:col>3</xdr:col>
      <xdr:colOff>368300</xdr:colOff>
      <xdr:row>14</xdr:row>
      <xdr:rowOff>78030</xdr:rowOff>
    </xdr:to>
    <xdr:sp macro="" textlink="calculation!A4">
      <xdr:nvSpPr>
        <xdr:cNvPr id="22" name="Rectangle 21">
          <a:extLst>
            <a:ext uri="{FF2B5EF4-FFF2-40B4-BE49-F238E27FC236}">
              <a16:creationId xmlns:a16="http://schemas.microsoft.com/office/drawing/2014/main" id="{2E20A7C5-8445-46C1-92EC-A4CB124BC716}"/>
            </a:ext>
          </a:extLst>
        </xdr:cNvPr>
        <xdr:cNvSpPr/>
      </xdr:nvSpPr>
      <xdr:spPr>
        <a:xfrm>
          <a:off x="894443" y="2019285"/>
          <a:ext cx="789214" cy="598745"/>
        </a:xfrm>
        <a:prstGeom prst="rect">
          <a:avLst/>
        </a:prstGeom>
        <a:solidFill>
          <a:schemeClr val="accent2"/>
        </a:solidFill>
        <a:effectLst>
          <a:outerShdw blurRad="254000" dist="127000" dir="2700000" algn="tl" rotWithShape="0">
            <a:prstClr val="black">
              <a:alpha val="4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900" b="1">
            <a:solidFill>
              <a:schemeClr val="bg1"/>
            </a:solidFill>
          </a:endParaRPr>
        </a:p>
      </xdr:txBody>
    </xdr:sp>
    <xdr:clientData/>
  </xdr:twoCellAnchor>
  <xdr:twoCellAnchor>
    <xdr:from>
      <xdr:col>2</xdr:col>
      <xdr:colOff>381000</xdr:colOff>
      <xdr:row>11</xdr:row>
      <xdr:rowOff>19963</xdr:rowOff>
    </xdr:from>
    <xdr:to>
      <xdr:col>3</xdr:col>
      <xdr:colOff>285750</xdr:colOff>
      <xdr:row>12</xdr:row>
      <xdr:rowOff>62587</xdr:rowOff>
    </xdr:to>
    <xdr:sp macro="" textlink="">
      <xdr:nvSpPr>
        <xdr:cNvPr id="23" name="TextBox 22">
          <a:extLst>
            <a:ext uri="{FF2B5EF4-FFF2-40B4-BE49-F238E27FC236}">
              <a16:creationId xmlns:a16="http://schemas.microsoft.com/office/drawing/2014/main" id="{7551BD4C-AAD9-4488-A443-2BCF3AAD56BA}"/>
            </a:ext>
          </a:extLst>
        </xdr:cNvPr>
        <xdr:cNvSpPr txBox="1"/>
      </xdr:nvSpPr>
      <xdr:spPr>
        <a:xfrm>
          <a:off x="1034143" y="2015677"/>
          <a:ext cx="566964" cy="22405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700" b="1">
              <a:solidFill>
                <a:schemeClr val="bg1"/>
              </a:solidFill>
            </a:rPr>
            <a:t>Duration</a:t>
          </a:r>
        </a:p>
      </xdr:txBody>
    </xdr:sp>
    <xdr:clientData/>
  </xdr:twoCellAnchor>
  <xdr:twoCellAnchor>
    <xdr:from>
      <xdr:col>2</xdr:col>
      <xdr:colOff>400050</xdr:colOff>
      <xdr:row>12</xdr:row>
      <xdr:rowOff>26960</xdr:rowOff>
    </xdr:from>
    <xdr:to>
      <xdr:col>3</xdr:col>
      <xdr:colOff>285750</xdr:colOff>
      <xdr:row>13</xdr:row>
      <xdr:rowOff>42890</xdr:rowOff>
    </xdr:to>
    <xdr:sp macro="" textlink="calculation!C4">
      <xdr:nvSpPr>
        <xdr:cNvPr id="25" name="TextBox 24">
          <a:extLst>
            <a:ext uri="{FF2B5EF4-FFF2-40B4-BE49-F238E27FC236}">
              <a16:creationId xmlns:a16="http://schemas.microsoft.com/office/drawing/2014/main" id="{9F3B7E0E-2F52-45A9-B3CB-8FA9220688E4}"/>
            </a:ext>
          </a:extLst>
        </xdr:cNvPr>
        <xdr:cNvSpPr txBox="1"/>
      </xdr:nvSpPr>
      <xdr:spPr>
        <a:xfrm>
          <a:off x="1053193" y="2204103"/>
          <a:ext cx="547914" cy="197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DA14D4-AE44-437D-B0CB-E7F6FD1DEA2B}" type="TxLink">
            <a:rPr lang="en-US" sz="900" b="1" i="0" u="none" strike="noStrike">
              <a:solidFill>
                <a:schemeClr val="bg1"/>
              </a:solidFill>
              <a:latin typeface="Aptos"/>
            </a:rPr>
            <a:pPr algn="ctr"/>
            <a:t>89,850</a:t>
          </a:fld>
          <a:endParaRPr lang="en-IN" sz="900" b="1">
            <a:solidFill>
              <a:schemeClr val="bg1"/>
            </a:solidFill>
          </a:endParaRPr>
        </a:p>
      </xdr:txBody>
    </xdr:sp>
    <xdr:clientData/>
  </xdr:twoCellAnchor>
  <xdr:twoCellAnchor>
    <xdr:from>
      <xdr:col>3</xdr:col>
      <xdr:colOff>184150</xdr:colOff>
      <xdr:row>17</xdr:row>
      <xdr:rowOff>27285</xdr:rowOff>
    </xdr:from>
    <xdr:to>
      <xdr:col>4</xdr:col>
      <xdr:colOff>25400</xdr:colOff>
      <xdr:row>18</xdr:row>
      <xdr:rowOff>29866</xdr:rowOff>
    </xdr:to>
    <xdr:sp macro="" textlink="">
      <xdr:nvSpPr>
        <xdr:cNvPr id="27" name="TextBox 26">
          <a:extLst>
            <a:ext uri="{FF2B5EF4-FFF2-40B4-BE49-F238E27FC236}">
              <a16:creationId xmlns:a16="http://schemas.microsoft.com/office/drawing/2014/main" id="{D0078FB2-1048-4E72-B977-F221D5AEAAB3}"/>
            </a:ext>
          </a:extLst>
        </xdr:cNvPr>
        <xdr:cNvSpPr txBox="1"/>
      </xdr:nvSpPr>
      <xdr:spPr>
        <a:xfrm>
          <a:off x="1499507" y="3111571"/>
          <a:ext cx="503464" cy="18400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a:solidFill>
                <a:schemeClr val="bg1"/>
              </a:solidFill>
            </a:rPr>
            <a:t>calls</a:t>
          </a:r>
          <a:endParaRPr lang="en-IN" sz="1100" b="1">
            <a:solidFill>
              <a:schemeClr val="bg1"/>
            </a:solidFill>
          </a:endParaRPr>
        </a:p>
      </xdr:txBody>
    </xdr:sp>
    <xdr:clientData/>
  </xdr:twoCellAnchor>
  <xdr:twoCellAnchor editAs="oneCell">
    <xdr:from>
      <xdr:col>3</xdr:col>
      <xdr:colOff>26470</xdr:colOff>
      <xdr:row>17</xdr:row>
      <xdr:rowOff>30639</xdr:rowOff>
    </xdr:from>
    <xdr:to>
      <xdr:col>3</xdr:col>
      <xdr:colOff>184034</xdr:colOff>
      <xdr:row>18</xdr:row>
      <xdr:rowOff>404</xdr:rowOff>
    </xdr:to>
    <xdr:pic>
      <xdr:nvPicPr>
        <xdr:cNvPr id="28" name="Graphic 27" descr="Receiver with solid fill">
          <a:extLst>
            <a:ext uri="{FF2B5EF4-FFF2-40B4-BE49-F238E27FC236}">
              <a16:creationId xmlns:a16="http://schemas.microsoft.com/office/drawing/2014/main" id="{00DFE952-D154-425C-9CA8-484A8245EA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4"/>
            </a:ext>
          </a:extLst>
        </a:blip>
        <a:stretch>
          <a:fillRect/>
        </a:stretch>
      </xdr:blipFill>
      <xdr:spPr>
        <a:xfrm rot="1080127">
          <a:off x="1341827" y="3114925"/>
          <a:ext cx="157564" cy="151193"/>
        </a:xfrm>
        <a:prstGeom prst="rect">
          <a:avLst/>
        </a:prstGeom>
      </xdr:spPr>
    </xdr:pic>
    <xdr:clientData/>
  </xdr:twoCellAnchor>
  <xdr:twoCellAnchor>
    <xdr:from>
      <xdr:col>3</xdr:col>
      <xdr:colOff>82550</xdr:colOff>
      <xdr:row>19</xdr:row>
      <xdr:rowOff>1399</xdr:rowOff>
    </xdr:from>
    <xdr:to>
      <xdr:col>3</xdr:col>
      <xdr:colOff>628650</xdr:colOff>
      <xdr:row>20</xdr:row>
      <xdr:rowOff>24001</xdr:rowOff>
    </xdr:to>
    <xdr:sp macro="" textlink="calculation!A8">
      <xdr:nvSpPr>
        <xdr:cNvPr id="29" name="TextBox 28">
          <a:extLst>
            <a:ext uri="{FF2B5EF4-FFF2-40B4-BE49-F238E27FC236}">
              <a16:creationId xmlns:a16="http://schemas.microsoft.com/office/drawing/2014/main" id="{4F2D611E-7E14-435C-BF59-D337AB3062FF}"/>
            </a:ext>
          </a:extLst>
        </xdr:cNvPr>
        <xdr:cNvSpPr txBox="1"/>
      </xdr:nvSpPr>
      <xdr:spPr>
        <a:xfrm>
          <a:off x="1397907" y="3448542"/>
          <a:ext cx="546100" cy="204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47CB0C-C961-496B-91B2-26A669D0C2EA}" type="TxLink">
            <a:rPr lang="en-US" sz="700" b="1" i="0" u="none" strike="noStrike">
              <a:solidFill>
                <a:schemeClr val="bg1"/>
              </a:solidFill>
              <a:latin typeface="Aptos"/>
            </a:rPr>
            <a:pPr algn="ctr"/>
            <a:t>218</a:t>
          </a:fld>
          <a:endParaRPr lang="en-IN" sz="700" b="1">
            <a:solidFill>
              <a:schemeClr val="bg1"/>
            </a:solidFill>
          </a:endParaRPr>
        </a:p>
      </xdr:txBody>
    </xdr:sp>
    <xdr:clientData/>
  </xdr:twoCellAnchor>
  <xdr:twoCellAnchor>
    <xdr:from>
      <xdr:col>2</xdr:col>
      <xdr:colOff>254000</xdr:colOff>
      <xdr:row>6</xdr:row>
      <xdr:rowOff>172926</xdr:rowOff>
    </xdr:from>
    <xdr:to>
      <xdr:col>3</xdr:col>
      <xdr:colOff>374650</xdr:colOff>
      <xdr:row>10</xdr:row>
      <xdr:rowOff>59304</xdr:rowOff>
    </xdr:to>
    <xdr:sp macro="" textlink="calculation!A4">
      <xdr:nvSpPr>
        <xdr:cNvPr id="30" name="Rectangle 29">
          <a:extLst>
            <a:ext uri="{FF2B5EF4-FFF2-40B4-BE49-F238E27FC236}">
              <a16:creationId xmlns:a16="http://schemas.microsoft.com/office/drawing/2014/main" id="{5A42CFF6-95AF-4E42-8764-D111014E9F84}"/>
            </a:ext>
          </a:extLst>
        </xdr:cNvPr>
        <xdr:cNvSpPr/>
      </xdr:nvSpPr>
      <xdr:spPr>
        <a:xfrm>
          <a:off x="907143" y="1261497"/>
          <a:ext cx="782864" cy="612093"/>
        </a:xfrm>
        <a:prstGeom prst="rect">
          <a:avLst/>
        </a:prstGeom>
        <a:solidFill>
          <a:schemeClr val="accent2"/>
        </a:solidFill>
        <a:effectLst>
          <a:outerShdw blurRad="254000" dist="127000" dir="2700000" algn="tl" rotWithShape="0">
            <a:prstClr val="black">
              <a:alpha val="4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900" b="1">
            <a:solidFill>
              <a:schemeClr val="bg1"/>
            </a:solidFill>
          </a:endParaRPr>
        </a:p>
      </xdr:txBody>
    </xdr:sp>
    <xdr:clientData/>
  </xdr:twoCellAnchor>
  <xdr:twoCellAnchor>
    <xdr:from>
      <xdr:col>2</xdr:col>
      <xdr:colOff>400050</xdr:colOff>
      <xdr:row>7</xdr:row>
      <xdr:rowOff>21097</xdr:rowOff>
    </xdr:from>
    <xdr:to>
      <xdr:col>3</xdr:col>
      <xdr:colOff>330200</xdr:colOff>
      <xdr:row>8</xdr:row>
      <xdr:rowOff>17003</xdr:rowOff>
    </xdr:to>
    <xdr:sp macro="" textlink="">
      <xdr:nvSpPr>
        <xdr:cNvPr id="31" name="TextBox 30">
          <a:extLst>
            <a:ext uri="{FF2B5EF4-FFF2-40B4-BE49-F238E27FC236}">
              <a16:creationId xmlns:a16="http://schemas.microsoft.com/office/drawing/2014/main" id="{FBDAD1E6-C792-4ABD-932C-DE8B637742C5}"/>
            </a:ext>
          </a:extLst>
        </xdr:cNvPr>
        <xdr:cNvSpPr txBox="1"/>
      </xdr:nvSpPr>
      <xdr:spPr>
        <a:xfrm>
          <a:off x="1053193" y="1291097"/>
          <a:ext cx="592364" cy="17733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700" b="1">
              <a:solidFill>
                <a:schemeClr val="bg1"/>
              </a:solidFill>
            </a:rPr>
            <a:t>Amount</a:t>
          </a:r>
        </a:p>
      </xdr:txBody>
    </xdr:sp>
    <xdr:clientData/>
  </xdr:twoCellAnchor>
  <xdr:twoCellAnchor>
    <xdr:from>
      <xdr:col>2</xdr:col>
      <xdr:colOff>387350</xdr:colOff>
      <xdr:row>8</xdr:row>
      <xdr:rowOff>7749</xdr:rowOff>
    </xdr:from>
    <xdr:to>
      <xdr:col>3</xdr:col>
      <xdr:colOff>273050</xdr:colOff>
      <xdr:row>9</xdr:row>
      <xdr:rowOff>30351</xdr:rowOff>
    </xdr:to>
    <xdr:sp macro="" textlink="calculation!B4">
      <xdr:nvSpPr>
        <xdr:cNvPr id="33" name="TextBox 32">
          <a:extLst>
            <a:ext uri="{FF2B5EF4-FFF2-40B4-BE49-F238E27FC236}">
              <a16:creationId xmlns:a16="http://schemas.microsoft.com/office/drawing/2014/main" id="{75C74239-B8C2-4A6A-97BB-35AC16DCE843}"/>
            </a:ext>
          </a:extLst>
        </xdr:cNvPr>
        <xdr:cNvSpPr txBox="1"/>
      </xdr:nvSpPr>
      <xdr:spPr>
        <a:xfrm>
          <a:off x="1040493" y="1459178"/>
          <a:ext cx="547914" cy="204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A9BFC2-BA10-43AC-94E2-D3D0C9107DA2}" type="TxLink">
            <a:rPr lang="en-US" sz="900" b="1" i="0" u="none" strike="noStrike">
              <a:solidFill>
                <a:schemeClr val="bg1"/>
              </a:solidFill>
              <a:latin typeface="Aptos"/>
            </a:rPr>
            <a:pPr algn="ctr"/>
            <a:t>$96,623</a:t>
          </a:fld>
          <a:endParaRPr lang="en-IN" sz="900" b="1">
            <a:solidFill>
              <a:schemeClr val="bg1"/>
            </a:solidFill>
          </a:endParaRPr>
        </a:p>
      </xdr:txBody>
    </xdr:sp>
    <xdr:clientData/>
  </xdr:twoCellAnchor>
  <xdr:twoCellAnchor>
    <xdr:from>
      <xdr:col>3</xdr:col>
      <xdr:colOff>184150</xdr:colOff>
      <xdr:row>22</xdr:row>
      <xdr:rowOff>27285</xdr:rowOff>
    </xdr:from>
    <xdr:to>
      <xdr:col>4</xdr:col>
      <xdr:colOff>25400</xdr:colOff>
      <xdr:row>23</xdr:row>
      <xdr:rowOff>29866</xdr:rowOff>
    </xdr:to>
    <xdr:sp macro="" textlink="">
      <xdr:nvSpPr>
        <xdr:cNvPr id="35" name="TextBox 34">
          <a:extLst>
            <a:ext uri="{FF2B5EF4-FFF2-40B4-BE49-F238E27FC236}">
              <a16:creationId xmlns:a16="http://schemas.microsoft.com/office/drawing/2014/main" id="{BEAD41BF-68A0-4FEE-AAEC-88720299CF8B}"/>
            </a:ext>
          </a:extLst>
        </xdr:cNvPr>
        <xdr:cNvSpPr txBox="1"/>
      </xdr:nvSpPr>
      <xdr:spPr>
        <a:xfrm>
          <a:off x="1499507" y="4018714"/>
          <a:ext cx="503464" cy="18400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a:solidFill>
                <a:schemeClr val="bg1"/>
              </a:solidFill>
            </a:rPr>
            <a:t>ca</a:t>
          </a:r>
          <a:endParaRPr lang="en-IN" sz="1100" b="1">
            <a:solidFill>
              <a:schemeClr val="bg1"/>
            </a:solidFill>
          </a:endParaRPr>
        </a:p>
      </xdr:txBody>
    </xdr:sp>
    <xdr:clientData/>
  </xdr:twoCellAnchor>
  <xdr:twoCellAnchor>
    <xdr:from>
      <xdr:col>3</xdr:col>
      <xdr:colOff>82550</xdr:colOff>
      <xdr:row>24</xdr:row>
      <xdr:rowOff>1399</xdr:rowOff>
    </xdr:from>
    <xdr:to>
      <xdr:col>3</xdr:col>
      <xdr:colOff>628650</xdr:colOff>
      <xdr:row>25</xdr:row>
      <xdr:rowOff>24001</xdr:rowOff>
    </xdr:to>
    <xdr:sp macro="" textlink="calculation!A8">
      <xdr:nvSpPr>
        <xdr:cNvPr id="37" name="TextBox 36">
          <a:extLst>
            <a:ext uri="{FF2B5EF4-FFF2-40B4-BE49-F238E27FC236}">
              <a16:creationId xmlns:a16="http://schemas.microsoft.com/office/drawing/2014/main" id="{A6957B2C-B63A-4A7E-9B1E-8EC37A9F86B3}"/>
            </a:ext>
          </a:extLst>
        </xdr:cNvPr>
        <xdr:cNvSpPr txBox="1"/>
      </xdr:nvSpPr>
      <xdr:spPr>
        <a:xfrm>
          <a:off x="1397907" y="4355685"/>
          <a:ext cx="546100" cy="204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47CB0C-C961-496B-91B2-26A669D0C2EA}" type="TxLink">
            <a:rPr lang="en-US" sz="700" b="1" i="0" u="none" strike="noStrike">
              <a:solidFill>
                <a:schemeClr val="bg1"/>
              </a:solidFill>
              <a:latin typeface="Aptos"/>
            </a:rPr>
            <a:pPr algn="ctr"/>
            <a:t>218</a:t>
          </a:fld>
          <a:endParaRPr lang="en-IN" sz="700" b="1">
            <a:solidFill>
              <a:schemeClr val="bg1"/>
            </a:solidFill>
          </a:endParaRPr>
        </a:p>
      </xdr:txBody>
    </xdr:sp>
    <xdr:clientData/>
  </xdr:twoCellAnchor>
  <xdr:twoCellAnchor>
    <xdr:from>
      <xdr:col>2</xdr:col>
      <xdr:colOff>234950</xdr:colOff>
      <xdr:row>15</xdr:row>
      <xdr:rowOff>86746</xdr:rowOff>
    </xdr:from>
    <xdr:to>
      <xdr:col>3</xdr:col>
      <xdr:colOff>374650</xdr:colOff>
      <xdr:row>18</xdr:row>
      <xdr:rowOff>154553</xdr:rowOff>
    </xdr:to>
    <xdr:sp macro="" textlink="">
      <xdr:nvSpPr>
        <xdr:cNvPr id="38" name="Rectangle 37">
          <a:extLst>
            <a:ext uri="{FF2B5EF4-FFF2-40B4-BE49-F238E27FC236}">
              <a16:creationId xmlns:a16="http://schemas.microsoft.com/office/drawing/2014/main" id="{56968D89-EB17-4C95-83FE-8A3D6FC44A7E}"/>
            </a:ext>
          </a:extLst>
        </xdr:cNvPr>
        <xdr:cNvSpPr/>
      </xdr:nvSpPr>
      <xdr:spPr>
        <a:xfrm>
          <a:off x="888093" y="2808175"/>
          <a:ext cx="801914" cy="612092"/>
        </a:xfrm>
        <a:prstGeom prst="rect">
          <a:avLst/>
        </a:prstGeom>
        <a:solidFill>
          <a:schemeClr val="accent2"/>
        </a:solidFill>
        <a:effectLst>
          <a:outerShdw blurRad="254000" dist="127000" dir="2700000" algn="tl" rotWithShape="0">
            <a:prstClr val="black">
              <a:alpha val="4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chemeClr val="bg1"/>
              </a:solidFill>
            </a:rPr>
            <a:t>  3.9</a:t>
          </a:r>
        </a:p>
      </xdr:txBody>
    </xdr:sp>
    <xdr:clientData/>
  </xdr:twoCellAnchor>
  <xdr:twoCellAnchor>
    <xdr:from>
      <xdr:col>2</xdr:col>
      <xdr:colOff>412750</xdr:colOff>
      <xdr:row>15</xdr:row>
      <xdr:rowOff>123507</xdr:rowOff>
    </xdr:from>
    <xdr:to>
      <xdr:col>3</xdr:col>
      <xdr:colOff>412750</xdr:colOff>
      <xdr:row>16</xdr:row>
      <xdr:rowOff>86044</xdr:rowOff>
    </xdr:to>
    <xdr:sp macro="" textlink="">
      <xdr:nvSpPr>
        <xdr:cNvPr id="39" name="TextBox 38">
          <a:extLst>
            <a:ext uri="{FF2B5EF4-FFF2-40B4-BE49-F238E27FC236}">
              <a16:creationId xmlns:a16="http://schemas.microsoft.com/office/drawing/2014/main" id="{272C3FC1-1476-4C1F-8430-8EF73955DC7F}"/>
            </a:ext>
          </a:extLst>
        </xdr:cNvPr>
        <xdr:cNvSpPr txBox="1"/>
      </xdr:nvSpPr>
      <xdr:spPr>
        <a:xfrm>
          <a:off x="1065893" y="2844936"/>
          <a:ext cx="662214" cy="14396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700" b="1">
              <a:solidFill>
                <a:schemeClr val="bg1"/>
              </a:solidFill>
            </a:rPr>
            <a:t>Avg. Rating</a:t>
          </a:r>
        </a:p>
      </xdr:txBody>
    </xdr:sp>
    <xdr:clientData/>
  </xdr:twoCellAnchor>
  <xdr:twoCellAnchor>
    <xdr:from>
      <xdr:col>2</xdr:col>
      <xdr:colOff>508000</xdr:colOff>
      <xdr:row>17</xdr:row>
      <xdr:rowOff>84920</xdr:rowOff>
    </xdr:from>
    <xdr:to>
      <xdr:col>3</xdr:col>
      <xdr:colOff>184150</xdr:colOff>
      <xdr:row>18</xdr:row>
      <xdr:rowOff>67481</xdr:rowOff>
    </xdr:to>
    <xdr:sp macro="" textlink="calculation!E8">
      <xdr:nvSpPr>
        <xdr:cNvPr id="41" name="TextBox 40">
          <a:extLst>
            <a:ext uri="{FF2B5EF4-FFF2-40B4-BE49-F238E27FC236}">
              <a16:creationId xmlns:a16="http://schemas.microsoft.com/office/drawing/2014/main" id="{EB748CEB-CA4A-4B9E-95C5-5CE5A16E0C5A}"/>
            </a:ext>
          </a:extLst>
        </xdr:cNvPr>
        <xdr:cNvSpPr txBox="1"/>
      </xdr:nvSpPr>
      <xdr:spPr>
        <a:xfrm>
          <a:off x="1161143" y="3169206"/>
          <a:ext cx="338364" cy="16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AA405A50-89B5-49C1-B38E-0B674E6CC44D}" type="TxLink">
            <a:rPr lang="en-US" sz="700" b="1" i="0" u="none" strike="noStrike">
              <a:solidFill>
                <a:schemeClr val="tx1"/>
              </a:solidFill>
              <a:latin typeface="Aptos"/>
            </a:rPr>
            <a:pPr algn="ctr"/>
            <a:t>3.9</a:t>
          </a:fld>
          <a:endParaRPr lang="en-IN" sz="700" b="1">
            <a:solidFill>
              <a:schemeClr val="tx1"/>
            </a:solidFill>
          </a:endParaRPr>
        </a:p>
      </xdr:txBody>
    </xdr:sp>
    <xdr:clientData/>
  </xdr:twoCellAnchor>
  <xdr:twoCellAnchor>
    <xdr:from>
      <xdr:col>2</xdr:col>
      <xdr:colOff>247650</xdr:colOff>
      <xdr:row>20</xdr:row>
      <xdr:rowOff>23571</xdr:rowOff>
    </xdr:from>
    <xdr:to>
      <xdr:col>3</xdr:col>
      <xdr:colOff>374650</xdr:colOff>
      <xdr:row>23</xdr:row>
      <xdr:rowOff>78030</xdr:rowOff>
    </xdr:to>
    <xdr:sp macro="" textlink="calculation!A4">
      <xdr:nvSpPr>
        <xdr:cNvPr id="42" name="Rectangle 41">
          <a:extLst>
            <a:ext uri="{FF2B5EF4-FFF2-40B4-BE49-F238E27FC236}">
              <a16:creationId xmlns:a16="http://schemas.microsoft.com/office/drawing/2014/main" id="{128E1D0A-A988-4859-8594-49CA6D514BF6}"/>
            </a:ext>
          </a:extLst>
        </xdr:cNvPr>
        <xdr:cNvSpPr/>
      </xdr:nvSpPr>
      <xdr:spPr>
        <a:xfrm>
          <a:off x="900793" y="3652142"/>
          <a:ext cx="789214" cy="598745"/>
        </a:xfrm>
        <a:prstGeom prst="rect">
          <a:avLst/>
        </a:prstGeom>
        <a:solidFill>
          <a:schemeClr val="accent2"/>
        </a:solidFill>
        <a:effectLst>
          <a:outerShdw blurRad="254000" dist="127000" dir="2700000" algn="tl" rotWithShape="0">
            <a:prstClr val="black">
              <a:alpha val="4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900" b="1">
            <a:solidFill>
              <a:schemeClr val="bg1"/>
            </a:solidFill>
          </a:endParaRPr>
        </a:p>
      </xdr:txBody>
    </xdr:sp>
    <xdr:clientData/>
  </xdr:twoCellAnchor>
  <xdr:twoCellAnchor>
    <xdr:from>
      <xdr:col>2</xdr:col>
      <xdr:colOff>342900</xdr:colOff>
      <xdr:row>20</xdr:row>
      <xdr:rowOff>60492</xdr:rowOff>
    </xdr:from>
    <xdr:to>
      <xdr:col>3</xdr:col>
      <xdr:colOff>533400</xdr:colOff>
      <xdr:row>21</xdr:row>
      <xdr:rowOff>3007</xdr:rowOff>
    </xdr:to>
    <xdr:sp macro="" textlink="">
      <xdr:nvSpPr>
        <xdr:cNvPr id="43" name="TextBox 42">
          <a:extLst>
            <a:ext uri="{FF2B5EF4-FFF2-40B4-BE49-F238E27FC236}">
              <a16:creationId xmlns:a16="http://schemas.microsoft.com/office/drawing/2014/main" id="{DD840E3A-FC5B-4C35-B3DA-8BAAB00370AE}"/>
            </a:ext>
          </a:extLst>
        </xdr:cNvPr>
        <xdr:cNvSpPr txBox="1"/>
      </xdr:nvSpPr>
      <xdr:spPr>
        <a:xfrm>
          <a:off x="996043" y="3689063"/>
          <a:ext cx="852714" cy="12394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700" b="1">
              <a:solidFill>
                <a:schemeClr val="bg1"/>
              </a:solidFill>
            </a:rPr>
            <a:t>Happy Caller</a:t>
          </a:r>
        </a:p>
      </xdr:txBody>
    </xdr:sp>
    <xdr:clientData/>
  </xdr:twoCellAnchor>
  <xdr:twoCellAnchor>
    <xdr:from>
      <xdr:col>2</xdr:col>
      <xdr:colOff>425450</xdr:colOff>
      <xdr:row>20</xdr:row>
      <xdr:rowOff>176894</xdr:rowOff>
    </xdr:from>
    <xdr:to>
      <xdr:col>3</xdr:col>
      <xdr:colOff>311150</xdr:colOff>
      <xdr:row>22</xdr:row>
      <xdr:rowOff>906</xdr:rowOff>
    </xdr:to>
    <xdr:sp macro="" textlink="calculation!D4">
      <xdr:nvSpPr>
        <xdr:cNvPr id="45" name="TextBox 44">
          <a:extLst>
            <a:ext uri="{FF2B5EF4-FFF2-40B4-BE49-F238E27FC236}">
              <a16:creationId xmlns:a16="http://schemas.microsoft.com/office/drawing/2014/main" id="{4F876F82-20D8-463E-ABAD-1845B6219DB8}"/>
            </a:ext>
          </a:extLst>
        </xdr:cNvPr>
        <xdr:cNvSpPr txBox="1"/>
      </xdr:nvSpPr>
      <xdr:spPr>
        <a:xfrm>
          <a:off x="1078593" y="3805465"/>
          <a:ext cx="547914" cy="1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495993-AC9E-470E-B741-5DEA7DA6A23B}" type="TxLink">
            <a:rPr lang="en-US" sz="900" b="1" i="0" u="none" strike="noStrike">
              <a:solidFill>
                <a:schemeClr val="bg1"/>
              </a:solidFill>
              <a:latin typeface="Aptos"/>
            </a:rPr>
            <a:pPr algn="ctr"/>
            <a:t>307</a:t>
          </a:fld>
          <a:endParaRPr lang="en-IN" sz="900" b="1">
            <a:solidFill>
              <a:schemeClr val="bg1"/>
            </a:solidFill>
          </a:endParaRPr>
        </a:p>
      </xdr:txBody>
    </xdr:sp>
    <xdr:clientData/>
  </xdr:twoCellAnchor>
  <xdr:twoCellAnchor>
    <xdr:from>
      <xdr:col>2</xdr:col>
      <xdr:colOff>374650</xdr:colOff>
      <xdr:row>21</xdr:row>
      <xdr:rowOff>177379</xdr:rowOff>
    </xdr:from>
    <xdr:to>
      <xdr:col>3</xdr:col>
      <xdr:colOff>342900</xdr:colOff>
      <xdr:row>22</xdr:row>
      <xdr:rowOff>162800</xdr:rowOff>
    </xdr:to>
    <xdr:sp macro="" textlink="calculation!D8">
      <xdr:nvSpPr>
        <xdr:cNvPr id="46" name="TextBox 45">
          <a:extLst>
            <a:ext uri="{FF2B5EF4-FFF2-40B4-BE49-F238E27FC236}">
              <a16:creationId xmlns:a16="http://schemas.microsoft.com/office/drawing/2014/main" id="{C1D2BEB5-09D9-C9A1-399F-9B0C2F73FDB2}"/>
            </a:ext>
          </a:extLst>
        </xdr:cNvPr>
        <xdr:cNvSpPr txBox="1"/>
      </xdr:nvSpPr>
      <xdr:spPr>
        <a:xfrm>
          <a:off x="1027793" y="3987379"/>
          <a:ext cx="630464" cy="16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5854E68-F3B9-4E15-BAFE-7CFEF00E43ED}" type="TxLink">
            <a:rPr lang="en-US" sz="700" b="1" i="0" u="none" strike="noStrike">
              <a:solidFill>
                <a:schemeClr val="tx1"/>
              </a:solidFill>
              <a:latin typeface="Aptos"/>
            </a:rPr>
            <a:pPr algn="ctr"/>
            <a:t>74</a:t>
          </a:fld>
          <a:endParaRPr lang="en-IN" sz="700" b="1">
            <a:solidFill>
              <a:schemeClr val="tx1"/>
            </a:solidFill>
          </a:endParaRPr>
        </a:p>
      </xdr:txBody>
    </xdr:sp>
    <xdr:clientData/>
  </xdr:twoCellAnchor>
  <xdr:twoCellAnchor>
    <xdr:from>
      <xdr:col>2</xdr:col>
      <xdr:colOff>438150</xdr:colOff>
      <xdr:row>13</xdr:row>
      <xdr:rowOff>20934</xdr:rowOff>
    </xdr:from>
    <xdr:to>
      <xdr:col>3</xdr:col>
      <xdr:colOff>285750</xdr:colOff>
      <xdr:row>14</xdr:row>
      <xdr:rowOff>23515</xdr:rowOff>
    </xdr:to>
    <xdr:sp macro="" textlink="calculation!C8">
      <xdr:nvSpPr>
        <xdr:cNvPr id="47" name="TextBox 46">
          <a:extLst>
            <a:ext uri="{FF2B5EF4-FFF2-40B4-BE49-F238E27FC236}">
              <a16:creationId xmlns:a16="http://schemas.microsoft.com/office/drawing/2014/main" id="{F3F8E248-2CD0-F823-DBDC-79C464D4B53A}"/>
            </a:ext>
          </a:extLst>
        </xdr:cNvPr>
        <xdr:cNvSpPr txBox="1"/>
      </xdr:nvSpPr>
      <xdr:spPr>
        <a:xfrm>
          <a:off x="1091293" y="2379505"/>
          <a:ext cx="509814" cy="18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F4DC500-2CC0-4427-B24C-331946F772BE}" type="TxLink">
            <a:rPr lang="en-US" sz="700" b="1" i="0" u="none" strike="noStrike">
              <a:solidFill>
                <a:schemeClr val="tx1"/>
              </a:solidFill>
              <a:latin typeface="Aptos"/>
            </a:rPr>
            <a:pPr algn="ctr"/>
            <a:t>19,300</a:t>
          </a:fld>
          <a:endParaRPr lang="en-IN" sz="700" b="1">
            <a:solidFill>
              <a:schemeClr val="tx1"/>
            </a:solidFill>
          </a:endParaRPr>
        </a:p>
      </xdr:txBody>
    </xdr:sp>
    <xdr:clientData/>
  </xdr:twoCellAnchor>
  <xdr:twoCellAnchor>
    <xdr:from>
      <xdr:col>2</xdr:col>
      <xdr:colOff>412750</xdr:colOff>
      <xdr:row>9</xdr:row>
      <xdr:rowOff>21420</xdr:rowOff>
    </xdr:from>
    <xdr:to>
      <xdr:col>3</xdr:col>
      <xdr:colOff>266700</xdr:colOff>
      <xdr:row>10</xdr:row>
      <xdr:rowOff>3980</xdr:rowOff>
    </xdr:to>
    <xdr:sp macro="" textlink="calculation!B8">
      <xdr:nvSpPr>
        <xdr:cNvPr id="48" name="TextBox 47">
          <a:extLst>
            <a:ext uri="{FF2B5EF4-FFF2-40B4-BE49-F238E27FC236}">
              <a16:creationId xmlns:a16="http://schemas.microsoft.com/office/drawing/2014/main" id="{7A2C2A6C-3784-0B9A-0B9C-B74F72351E48}"/>
            </a:ext>
          </a:extLst>
        </xdr:cNvPr>
        <xdr:cNvSpPr txBox="1"/>
      </xdr:nvSpPr>
      <xdr:spPr>
        <a:xfrm>
          <a:off x="1065893" y="1654277"/>
          <a:ext cx="516164" cy="16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AE319D80-95E5-4921-A94E-97B06630304D}" type="TxLink">
            <a:rPr lang="en-US" sz="700" b="1" i="0" u="none" strike="noStrike">
              <a:solidFill>
                <a:schemeClr val="tx1"/>
              </a:solidFill>
              <a:latin typeface="Aptos"/>
            </a:rPr>
            <a:pPr algn="ctr"/>
            <a:t>$20,581</a:t>
          </a:fld>
          <a:endParaRPr lang="en-IN" sz="700" b="1">
            <a:solidFill>
              <a:schemeClr val="tx1"/>
            </a:solidFill>
          </a:endParaRPr>
        </a:p>
      </xdr:txBody>
    </xdr:sp>
    <xdr:clientData/>
  </xdr:twoCellAnchor>
  <xdr:twoCellAnchor editAs="oneCell">
    <xdr:from>
      <xdr:col>2</xdr:col>
      <xdr:colOff>293444</xdr:colOff>
      <xdr:row>7</xdr:row>
      <xdr:rowOff>18272</xdr:rowOff>
    </xdr:from>
    <xdr:to>
      <xdr:col>2</xdr:col>
      <xdr:colOff>439783</xdr:colOff>
      <xdr:row>7</xdr:row>
      <xdr:rowOff>155735</xdr:rowOff>
    </xdr:to>
    <xdr:pic>
      <xdr:nvPicPr>
        <xdr:cNvPr id="49" name="Graphic 48" descr="Shopping cart with solid fill">
          <a:extLst>
            <a:ext uri="{FF2B5EF4-FFF2-40B4-BE49-F238E27FC236}">
              <a16:creationId xmlns:a16="http://schemas.microsoft.com/office/drawing/2014/main" id="{D8702E36-00EB-44F8-8516-CC0B039CC12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46587" y="1288272"/>
          <a:ext cx="146339" cy="137463"/>
        </a:xfrm>
        <a:prstGeom prst="rect">
          <a:avLst/>
        </a:prstGeom>
      </xdr:spPr>
    </xdr:pic>
    <xdr:clientData/>
  </xdr:twoCellAnchor>
  <xdr:twoCellAnchor editAs="oneCell">
    <xdr:from>
      <xdr:col>2</xdr:col>
      <xdr:colOff>262732</xdr:colOff>
      <xdr:row>11</xdr:row>
      <xdr:rowOff>53332</xdr:rowOff>
    </xdr:from>
    <xdr:to>
      <xdr:col>2</xdr:col>
      <xdr:colOff>426212</xdr:colOff>
      <xdr:row>12</xdr:row>
      <xdr:rowOff>29218</xdr:rowOff>
    </xdr:to>
    <xdr:pic>
      <xdr:nvPicPr>
        <xdr:cNvPr id="50" name="Graphic 49" descr="Hourglass Finished with solid fill">
          <a:extLst>
            <a:ext uri="{FF2B5EF4-FFF2-40B4-BE49-F238E27FC236}">
              <a16:creationId xmlns:a16="http://schemas.microsoft.com/office/drawing/2014/main" id="{962D472D-7A33-4A6A-B437-523456A3782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15875" y="2049046"/>
          <a:ext cx="163480" cy="157315"/>
        </a:xfrm>
        <a:prstGeom prst="rect">
          <a:avLst/>
        </a:prstGeom>
      </xdr:spPr>
    </xdr:pic>
    <xdr:clientData/>
  </xdr:twoCellAnchor>
  <xdr:twoCellAnchor editAs="oneCell">
    <xdr:from>
      <xdr:col>2</xdr:col>
      <xdr:colOff>250276</xdr:colOff>
      <xdr:row>20</xdr:row>
      <xdr:rowOff>59995</xdr:rowOff>
    </xdr:from>
    <xdr:to>
      <xdr:col>2</xdr:col>
      <xdr:colOff>403777</xdr:colOff>
      <xdr:row>21</xdr:row>
      <xdr:rowOff>23000</xdr:rowOff>
    </xdr:to>
    <xdr:pic>
      <xdr:nvPicPr>
        <xdr:cNvPr id="51" name="Graphic 50" descr="Star-struck face outline with solid fill">
          <a:extLst>
            <a:ext uri="{FF2B5EF4-FFF2-40B4-BE49-F238E27FC236}">
              <a16:creationId xmlns:a16="http://schemas.microsoft.com/office/drawing/2014/main" id="{1518A917-8CF6-458B-809D-99AEE387B52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3419" y="3688566"/>
          <a:ext cx="153501" cy="144434"/>
        </a:xfrm>
        <a:prstGeom prst="rect">
          <a:avLst/>
        </a:prstGeom>
      </xdr:spPr>
    </xdr:pic>
    <xdr:clientData/>
  </xdr:twoCellAnchor>
  <xdr:twoCellAnchor editAs="oneCell">
    <xdr:from>
      <xdr:col>2</xdr:col>
      <xdr:colOff>264383</xdr:colOff>
      <xdr:row>15</xdr:row>
      <xdr:rowOff>98453</xdr:rowOff>
    </xdr:from>
    <xdr:to>
      <xdr:col>2</xdr:col>
      <xdr:colOff>479175</xdr:colOff>
      <xdr:row>16</xdr:row>
      <xdr:rowOff>73924</xdr:rowOff>
    </xdr:to>
    <xdr:pic>
      <xdr:nvPicPr>
        <xdr:cNvPr id="52" name="Graphic 51" descr="Rating Star with solid fill">
          <a:extLst>
            <a:ext uri="{FF2B5EF4-FFF2-40B4-BE49-F238E27FC236}">
              <a16:creationId xmlns:a16="http://schemas.microsoft.com/office/drawing/2014/main" id="{49E4B9A2-3771-4460-85CE-FDCA5CA9272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rot="20350268">
          <a:off x="917526" y="2819882"/>
          <a:ext cx="214792" cy="156899"/>
        </a:xfrm>
        <a:prstGeom prst="rect">
          <a:avLst/>
        </a:prstGeom>
      </xdr:spPr>
    </xdr:pic>
    <xdr:clientData/>
  </xdr:twoCellAnchor>
  <xdr:twoCellAnchor>
    <xdr:from>
      <xdr:col>3</xdr:col>
      <xdr:colOff>522515</xdr:colOff>
      <xdr:row>0</xdr:row>
      <xdr:rowOff>94239</xdr:rowOff>
    </xdr:from>
    <xdr:to>
      <xdr:col>8</xdr:col>
      <xdr:colOff>152737</xdr:colOff>
      <xdr:row>11</xdr:row>
      <xdr:rowOff>84048</xdr:rowOff>
    </xdr:to>
    <xdr:graphicFrame macro="">
      <xdr:nvGraphicFramePr>
        <xdr:cNvPr id="3" name="Chart 2">
          <a:extLst>
            <a:ext uri="{FF2B5EF4-FFF2-40B4-BE49-F238E27FC236}">
              <a16:creationId xmlns:a16="http://schemas.microsoft.com/office/drawing/2014/main" id="{FB3199B1-8E51-4B58-A24A-A7AF6B73F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512852</xdr:colOff>
      <xdr:row>14</xdr:row>
      <xdr:rowOff>103396</xdr:rowOff>
    </xdr:from>
    <xdr:to>
      <xdr:col>6</xdr:col>
      <xdr:colOff>379945</xdr:colOff>
      <xdr:row>32</xdr:row>
      <xdr:rowOff>87947</xdr:rowOff>
    </xdr:to>
    <xdr:graphicFrame macro="">
      <xdr:nvGraphicFramePr>
        <xdr:cNvPr id="10" name="Chart 9">
          <a:extLst>
            <a:ext uri="{FF2B5EF4-FFF2-40B4-BE49-F238E27FC236}">
              <a16:creationId xmlns:a16="http://schemas.microsoft.com/office/drawing/2014/main" id="{51B72FCC-DEA2-4092-BEED-BD24A78F3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370873</xdr:colOff>
      <xdr:row>14</xdr:row>
      <xdr:rowOff>103859</xdr:rowOff>
    </xdr:from>
    <xdr:to>
      <xdr:col>9</xdr:col>
      <xdr:colOff>311803</xdr:colOff>
      <xdr:row>32</xdr:row>
      <xdr:rowOff>69340</xdr:rowOff>
    </xdr:to>
    <xdr:graphicFrame macro="">
      <xdr:nvGraphicFramePr>
        <xdr:cNvPr id="11" name="Chart 10">
          <a:extLst>
            <a:ext uri="{FF2B5EF4-FFF2-40B4-BE49-F238E27FC236}">
              <a16:creationId xmlns:a16="http://schemas.microsoft.com/office/drawing/2014/main" id="{92DBFCD5-EA53-4F99-A077-80FA4D712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130378</xdr:colOff>
      <xdr:row>0</xdr:row>
      <xdr:rowOff>94752</xdr:rowOff>
    </xdr:from>
    <xdr:to>
      <xdr:col>13</xdr:col>
      <xdr:colOff>257166</xdr:colOff>
      <xdr:row>14</xdr:row>
      <xdr:rowOff>5033</xdr:rowOff>
    </xdr:to>
    <xdr:graphicFrame macro="">
      <xdr:nvGraphicFramePr>
        <xdr:cNvPr id="13" name="Chart 12">
          <a:extLst>
            <a:ext uri="{FF2B5EF4-FFF2-40B4-BE49-F238E27FC236}">
              <a16:creationId xmlns:a16="http://schemas.microsoft.com/office/drawing/2014/main" id="{23483BAF-DB47-4D02-A7FB-EC02E9649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338174</xdr:colOff>
      <xdr:row>0</xdr:row>
      <xdr:rowOff>108204</xdr:rowOff>
    </xdr:from>
    <xdr:to>
      <xdr:col>17</xdr:col>
      <xdr:colOff>581837</xdr:colOff>
      <xdr:row>12</xdr:row>
      <xdr:rowOff>113940</xdr:rowOff>
    </xdr:to>
    <xdr:graphicFrame macro="">
      <xdr:nvGraphicFramePr>
        <xdr:cNvPr id="15" name="Chart 14">
          <a:extLst>
            <a:ext uri="{FF2B5EF4-FFF2-40B4-BE49-F238E27FC236}">
              <a16:creationId xmlns:a16="http://schemas.microsoft.com/office/drawing/2014/main" id="{4CBA2D27-0A89-492A-A523-3F883BEF2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960715856483" backgroundQuery="1" createdVersion="8" refreshedVersion="8" minRefreshableVersion="3" recordCount="0" supportSubquery="1" supportAdvancedDrill="1" xr:uid="{7FAD8724-14CB-4F40-8258-D00AD7273F90}">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Call Duration]" caption="Call Duration" measure="1" displayFolder="" measureGroup="calls" count="0"/>
    <cacheHierarchy uniqueName="[Measures].[5*calls]" caption="5*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007396180554" backgroundQuery="1" createdVersion="8" refreshedVersion="8" minRefreshableVersion="3" recordCount="0" supportSubquery="1" supportAdvancedDrill="1" xr:uid="{65A59660-70E7-4A9E-9049-F76706297B34}">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Call Duration]" caption="Call Duration" measure="1" displayFolder="" measureGroup="calls" count="0"/>
    <cacheHierarchy uniqueName="[Measures].[5*calls]" caption="5*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7.959573726854" backgroundQuery="1" createdVersion="8" refreshedVersion="8" minRefreshableVersion="3" recordCount="0" supportSubquery="1" supportAdvancedDrill="1" xr:uid="{CFC4D846-DCA3-4C45-B6FF-990FC9F64AE4}">
  <cacheSource type="external" connectionId="1"/>
  <cacheFields count="5">
    <cacheField name="[Measures].[Call Count]" caption="Call Count" numFmtId="0" hierarchy="17" level="32767"/>
    <cacheField name="[Measures].[Total Amount]" caption="Total Amount" numFmtId="0" hierarchy="18" level="32767"/>
    <cacheField name="[Measures].[Call Duration]" caption="Call Duration" numFmtId="0" hierarchy="19" level="32767"/>
    <cacheField name="[Measures].[5*calls]" caption="5*calls" numFmtId="0" hierarchy="20" level="32767"/>
    <cacheField name="[Measures].[Avg. Rating]" caption="Avg. Rating"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Call Duration]" caption="Call Duration" measure="1" displayFolder="" measureGroup="calls" count="0" oneField="1">
      <fieldsUsage count="1">
        <fieldUsage x="2"/>
      </fieldsUsage>
    </cacheHierarchy>
    <cacheHierarchy uniqueName="[Measures].[5*calls]" caption="5*calls" measure="1" displayFolder="" measureGroup="calls" count="0" oneField="1">
      <fieldsUsage count="1">
        <fieldUsage x="3"/>
      </fieldsUsage>
    </cacheHierarchy>
    <cacheHierarchy uniqueName="[Measures].[Avg. Rating]" caption="Avg.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9.025684490742" backgroundQuery="1" createdVersion="8" refreshedVersion="8" minRefreshableVersion="3" recordCount="0" supportSubquery="1" supportAdvancedDrill="1" xr:uid="{507F249A-D7AE-4DC8-86B1-3A31A836A7D4}">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Call Duration]" caption="Call Duration" measure="1" displayFolder="" measureGroup="calls" count="0"/>
    <cacheHierarchy uniqueName="[Measures].[5*calls]" caption="5*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1.824885532405" backgroundQuery="1" createdVersion="8" refreshedVersion="8" minRefreshableVersion="3" recordCount="0" supportSubquery="1" supportAdvancedDrill="1" xr:uid="{59561780-7201-43B1-952B-1F35091A9CCC}">
  <cacheSource type="external" connectionId="1"/>
  <cacheFields count="6">
    <cacheField name="[Measures].[Call Count]" caption="Call Count" numFmtId="0" hierarchy="17" level="32767"/>
    <cacheField name="[Measures].[Total Amount]" caption="Total Amount" numFmtId="0" hierarchy="18" level="32767"/>
    <cacheField name="[Measures].[Call Duration]" caption="Call Duration" numFmtId="0" hierarchy="19" level="32767"/>
    <cacheField name="[Measures].[5*calls]" caption="5*calls" numFmtId="0" hierarchy="20" level="32767"/>
    <cacheField name="[Measures].[Avg. Rating]" caption="Avg. Rating"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Call Duration]" caption="Call Duration" measure="1" displayFolder="" measureGroup="calls" count="0" oneField="1">
      <fieldsUsage count="1">
        <fieldUsage x="2"/>
      </fieldsUsage>
    </cacheHierarchy>
    <cacheHierarchy uniqueName="[Measures].[5*calls]" caption="5*calls" measure="1" displayFolder="" measureGroup="calls" count="0" oneField="1">
      <fieldsUsage count="1">
        <fieldUsage x="3"/>
      </fieldsUsage>
    </cacheHierarchy>
    <cacheHierarchy uniqueName="[Measures].[Avg. Rating]" caption="Avg.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1.824886342591" backgroundQuery="1" createdVersion="8" refreshedVersion="8" minRefreshableVersion="3" recordCount="0" supportSubquery="1" supportAdvancedDrill="1" xr:uid="{81F3CA2C-1F03-4812-B7EB-54EEFE2099C1}">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9-01T00:00:00" maxDate="2023-10-01T00:00:00" count="11">
        <d v="2023-09-01T00:00:00"/>
        <d v="2023-09-06T00:00:00"/>
        <d v="2023-09-07T00:00:00"/>
        <d v="2023-09-08T00:00:00"/>
        <d v="2023-09-09T00:00:00"/>
        <d v="2023-09-10T00:00:00"/>
        <d v="2023-09-12T00:00:00"/>
        <d v="2023-09-13T00:00:00"/>
        <d v="2023-09-19T00:00:00"/>
        <d v="2023-09-24T00:00:00"/>
        <d v="2023-09-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Call Duration]" caption="Call Duration" measure="1" displayFolder="" measureGroup="calls" count="0"/>
    <cacheHierarchy uniqueName="[Measures].[5*calls]" caption="5*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1.824887268522" backgroundQuery="1" createdVersion="8" refreshedVersion="8" minRefreshableVersion="3" recordCount="0" supportSubquery="1" supportAdvancedDrill="1" xr:uid="{6E0C903D-D43C-4F6F-9C9E-908142DFA825}">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Call Duration]" caption="Call Duration" measure="1" displayFolder="" measureGroup="calls" count="0"/>
    <cacheHierarchy uniqueName="[Measures].[5*calls]" caption="5*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1.824887847222" backgroundQuery="1" createdVersion="8" refreshedVersion="8" minRefreshableVersion="3" recordCount="0" supportSubquery="1" supportAdvancedDrill="1" xr:uid="{A66E208D-C988-4E93-84FC-076E472C837E}">
  <cacheSource type="external" connectionId="1"/>
  <cacheFields count="1">
    <cacheField name="[calls].[Representative].[Representative]" caption="Representative" numFmtId="0" hierarchy="3" level="1">
      <sharedItems count="1">
        <s v="R02"/>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Call Duration]" caption="Call Duration" measure="1" displayFolder="" measureGroup="calls" count="0"/>
    <cacheHierarchy uniqueName="[Measures].[5*calls]" caption="5*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1.824888425923" backgroundQuery="1" createdVersion="8" refreshedVersion="8" minRefreshableVersion="3" recordCount="0" supportSubquery="1" supportAdvancedDrill="1" xr:uid="{B0351873-56F8-4EA3-89A5-BC65EE77A38F}">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Call Duration]" caption="Call Duration" measure="1" displayFolder="" measureGroup="calls" count="0"/>
    <cacheHierarchy uniqueName="[Measures].[5*calls]" caption="5*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7.959563310185" backgroundQuery="1" createdVersion="3" refreshedVersion="8" minRefreshableVersion="3" recordCount="0" supportSubquery="1" supportAdvancedDrill="1" xr:uid="{77EABE7A-4542-4EB9-A6F0-6084C542B74A}">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Call Duration]" caption="Call Duration" measure="1" displayFolder="" measureGroup="calls" count="0"/>
    <cacheHierarchy uniqueName="[Measures].[5*calls]" caption="5*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72053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A68395-9325-4762-95AF-1203B709C57E}" name="rim amount"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3">
  <location ref="B70:H89"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B4B48A-92E4-4176-9457-A1EB1A95EB32}" name="rep satisfaction " cacheId="4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B59:C6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2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728024-F402-4F18-B099-066AEBA64DE6}"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B50:E5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17" format="4" series="1">
      <pivotArea type="data" outline="0" fieldPosition="0">
        <references count="2">
          <reference field="4294967294" count="1" selected="0">
            <x v="0"/>
          </reference>
          <reference field="1" count="1" selected="0">
            <x v="0"/>
          </reference>
        </references>
      </pivotArea>
    </chartFormat>
    <chartFormat chart="17"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1D3460-7F31-43DC-B2D6-7D9505D909D8}"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7:G4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6FE1C3-7ACA-4730-9DD1-DDB142DC1CB9}" name="weekly tends" cacheId="4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G16:H24"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7">
        <item x="3"/>
        <item x="2"/>
        <item x="0"/>
        <item x="4"/>
        <item x="6"/>
        <item x="5"/>
        <item x="1"/>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3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5443B0-D1FA-4DEF-92E7-725B1FD225D4}" name="monthly trends" cacheId="4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15:C2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3A027D-BD04-47DC-8091-EDB3A5C76F9C}" name="rep pivot" cacheId="4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FB32AE-DEA6-4665-8BCA-8DBFB0DF6E38}" name="summary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992AE0-2337-4B72-A648-DE82FC387FA5}" name="selected rep" cacheId="4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8:M4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formats count="1">
    <format dxfId="18">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70F4CDE-5AF2-496C-B0CF-1A81A3811B67}" sourceName="[calls].[Representative]">
  <pivotTables>
    <pivotTable tabId="5" name="rep pivot"/>
    <pivotTable tabId="5" name="monthly trends"/>
    <pivotTable tabId="5" name="weekly tends"/>
    <pivotTable tabId="5" name="selected rep"/>
    <pivotTable tabId="5" name="rep satisfaction "/>
  </pivotTables>
  <data>
    <olap pivotCacheId="20720537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201A0F20-EECF-441D-96AC-7AD33B914A16}" cache="Slicer_Representative" caption="Representative"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7"/>
    <tableColumn id="5" xr3:uid="{5A35565E-8707-4DED-AD15-A0669D67B382}" name="Date of Call" dataDxfId="16"/>
    <tableColumn id="6" xr3:uid="{F2E4F158-B41F-47BC-8DF8-DFCADFEE4E40}" name="Purchase Amount"/>
    <tableColumn id="7" xr3:uid="{04B291B5-47BD-4F78-8FD8-D1551CCA6BD9}" name="Satisfaction Rating"/>
    <tableColumn id="8" xr3:uid="{6E4123C0-0B17-43B8-A142-A1E540CE974C}" name="FY" dataDxfId="15">
      <calculatedColumnFormula>IF(MONTH(calls[[#This Row],[Date of Call]])&lt;=6, YEAR(calls[[#This Row],[Date of Call]]), YEAR(calls[[#This Row],[Date of Call]])+1)</calculatedColumnFormula>
    </tableColumn>
    <tableColumn id="9" xr3:uid="{199FA271-5E9B-46CE-9BC6-2801F92CD17E}" name="Day of week" dataDxfId="14">
      <calculatedColumnFormula>TEXT(calls[[#This Row],[Date of Call]],"DDDD")</calculatedColumnFormula>
    </tableColumn>
    <tableColumn id="10" xr3:uid="{328CDB09-95B8-4D5E-9ED9-EF0D363735A1}" name="Duration Bucket" dataDxfId="13">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2">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1" headerRowBorderDxfId="10" tableBorderDxfId="9" totalsRowBorderDxfId="8">
  <autoFilter ref="Q3:T18" xr:uid="{27158F51-A707-4171-8A04-81FB0AABCBA5}"/>
  <tableColumns count="4">
    <tableColumn id="1" xr3:uid="{02688061-6A8C-4E23-B7FF-D00CD8B58CAC}" name="Customer ID" dataDxfId="7"/>
    <tableColumn id="2" xr3:uid="{771678B6-DB44-426B-9874-B4E421A440D5}" name="Gedner" dataDxfId="6"/>
    <tableColumn id="3" xr3:uid="{B0D41C62-587E-494D-B49A-603F2C05F8D3}" name="Age" dataDxfId="5"/>
    <tableColumn id="4" xr3:uid="{663F92D6-FE31-4D81-9E01-8D066DDC8A88}" name="City"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06FCE-30D2-4D20-B34E-5F8D45A3E534}">
  <dimension ref="A3:O89"/>
  <sheetViews>
    <sheetView topLeftCell="A3" zoomScale="64" zoomScaleNormal="77" workbookViewId="0">
      <selection activeCell="E8" sqref="E8"/>
    </sheetView>
  </sheetViews>
  <sheetFormatPr defaultRowHeight="14.5" x14ac:dyDescent="0.35"/>
  <cols>
    <col min="1" max="2" width="13.6640625" bestFit="1" customWidth="1"/>
    <col min="3" max="3" width="9.83203125" bestFit="1" customWidth="1"/>
    <col min="4" max="4" width="6.6640625" bestFit="1" customWidth="1"/>
    <col min="5" max="5" width="10.08203125" bestFit="1" customWidth="1"/>
    <col min="6" max="6" width="6.25" bestFit="1" customWidth="1"/>
    <col min="7" max="7" width="13.6640625" bestFit="1" customWidth="1"/>
    <col min="8" max="8" width="9.83203125" bestFit="1" customWidth="1"/>
    <col min="9" max="9" width="10.83203125" bestFit="1" customWidth="1"/>
    <col min="13" max="13" width="13.6640625" bestFit="1" customWidth="1"/>
    <col min="14" max="14" width="11.08203125" customWidth="1"/>
  </cols>
  <sheetData>
    <row r="3" spans="1:8" x14ac:dyDescent="0.35">
      <c r="A3" t="s">
        <v>1040</v>
      </c>
      <c r="B3" t="s">
        <v>1041</v>
      </c>
      <c r="C3" t="s">
        <v>1042</v>
      </c>
      <c r="D3" t="s">
        <v>1043</v>
      </c>
      <c r="E3" t="s">
        <v>1044</v>
      </c>
    </row>
    <row r="4" spans="1:8" x14ac:dyDescent="0.35">
      <c r="A4" s="20">
        <v>1000</v>
      </c>
      <c r="B4" s="21">
        <v>96623</v>
      </c>
      <c r="C4" s="20">
        <v>89850</v>
      </c>
      <c r="D4" s="20">
        <v>307</v>
      </c>
      <c r="E4" s="22">
        <v>3.8854000000000033</v>
      </c>
    </row>
    <row r="7" spans="1:8" x14ac:dyDescent="0.35">
      <c r="A7" t="s">
        <v>1040</v>
      </c>
      <c r="B7" t="s">
        <v>1041</v>
      </c>
      <c r="C7" t="s">
        <v>1042</v>
      </c>
      <c r="D7" t="s">
        <v>1043</v>
      </c>
      <c r="E7" t="s">
        <v>1044</v>
      </c>
    </row>
    <row r="8" spans="1:8" x14ac:dyDescent="0.35">
      <c r="A8" s="20">
        <v>218</v>
      </c>
      <c r="B8" s="21">
        <v>20581</v>
      </c>
      <c r="C8" s="20">
        <v>19300</v>
      </c>
      <c r="D8" s="20">
        <v>74</v>
      </c>
      <c r="E8" s="22">
        <v>3.8706422018348627</v>
      </c>
    </row>
    <row r="15" spans="1:8" x14ac:dyDescent="0.35">
      <c r="A15" s="24" t="s">
        <v>1054</v>
      </c>
      <c r="B15" t="s">
        <v>1040</v>
      </c>
      <c r="C15" t="s">
        <v>1068</v>
      </c>
    </row>
    <row r="16" spans="1:8" x14ac:dyDescent="0.35">
      <c r="A16" s="25" t="s">
        <v>1056</v>
      </c>
      <c r="B16" s="20">
        <v>19</v>
      </c>
      <c r="C16" s="20">
        <v>19</v>
      </c>
      <c r="G16" s="24" t="s">
        <v>1054</v>
      </c>
      <c r="H16" t="s">
        <v>1040</v>
      </c>
    </row>
    <row r="17" spans="1:15" x14ac:dyDescent="0.35">
      <c r="A17" s="25" t="s">
        <v>1057</v>
      </c>
      <c r="B17" s="20">
        <v>10</v>
      </c>
      <c r="C17" s="20">
        <v>10</v>
      </c>
      <c r="G17" s="25" t="s">
        <v>1047</v>
      </c>
      <c r="H17" s="20">
        <v>28</v>
      </c>
    </row>
    <row r="18" spans="1:15" x14ac:dyDescent="0.35">
      <c r="A18" s="25" t="s">
        <v>1058</v>
      </c>
      <c r="B18" s="20">
        <v>40</v>
      </c>
      <c r="C18" s="20">
        <v>40</v>
      </c>
      <c r="G18" s="25" t="s">
        <v>1051</v>
      </c>
      <c r="H18" s="20">
        <v>24</v>
      </c>
      <c r="N18" t="s">
        <v>1074</v>
      </c>
      <c r="O18" t="str">
        <f>M39</f>
        <v>R02</v>
      </c>
    </row>
    <row r="19" spans="1:15" x14ac:dyDescent="0.35">
      <c r="A19" s="25" t="s">
        <v>1059</v>
      </c>
      <c r="B19" s="20">
        <v>40</v>
      </c>
      <c r="C19" s="20">
        <v>40</v>
      </c>
      <c r="G19" s="25" t="s">
        <v>1053</v>
      </c>
      <c r="H19" s="20">
        <v>29</v>
      </c>
    </row>
    <row r="20" spans="1:15" x14ac:dyDescent="0.35">
      <c r="A20" s="25" t="s">
        <v>1060</v>
      </c>
      <c r="B20" s="20">
        <v>13</v>
      </c>
      <c r="C20" s="20">
        <v>13</v>
      </c>
      <c r="G20" s="25" t="s">
        <v>1050</v>
      </c>
      <c r="H20" s="20">
        <v>33</v>
      </c>
      <c r="K20" t="s">
        <v>1069</v>
      </c>
      <c r="L20" t="s">
        <v>1070</v>
      </c>
      <c r="M20" t="s">
        <v>1071</v>
      </c>
      <c r="N20" t="s">
        <v>1072</v>
      </c>
      <c r="O20" t="s">
        <v>1073</v>
      </c>
    </row>
    <row r="21" spans="1:15" x14ac:dyDescent="0.35">
      <c r="A21" s="25" t="s">
        <v>1061</v>
      </c>
      <c r="B21" s="20">
        <v>12</v>
      </c>
      <c r="C21" s="20">
        <v>12</v>
      </c>
      <c r="G21" s="25" t="s">
        <v>1049</v>
      </c>
      <c r="H21" s="20">
        <v>36</v>
      </c>
      <c r="K21" s="25" t="s">
        <v>11</v>
      </c>
      <c r="L21" s="20">
        <v>189</v>
      </c>
      <c r="M21" s="26">
        <v>18415</v>
      </c>
      <c r="N21" t="e">
        <f>IF(K21=$O$18,L21,NA())</f>
        <v>#N/A</v>
      </c>
      <c r="O21" t="e">
        <f>IF(K21=$O$18,M21,NA())</f>
        <v>#N/A</v>
      </c>
    </row>
    <row r="22" spans="1:15" x14ac:dyDescent="0.35">
      <c r="A22" s="25" t="s">
        <v>1062</v>
      </c>
      <c r="B22" s="20">
        <v>9</v>
      </c>
      <c r="C22" s="20">
        <v>9</v>
      </c>
      <c r="G22" s="25" t="s">
        <v>1048</v>
      </c>
      <c r="H22" s="20">
        <v>44</v>
      </c>
      <c r="K22" s="25" t="s">
        <v>9</v>
      </c>
      <c r="L22" s="20">
        <v>218</v>
      </c>
      <c r="M22" s="26">
        <v>20581</v>
      </c>
      <c r="N22">
        <f t="shared" ref="N22:N25" si="0">IF(K22=$O$18,L22,NA())</f>
        <v>218</v>
      </c>
      <c r="O22">
        <f t="shared" ref="O22:O25" si="1">IF(K22=$O$18,M22,NA())</f>
        <v>20581</v>
      </c>
    </row>
    <row r="23" spans="1:15" x14ac:dyDescent="0.35">
      <c r="A23" s="25" t="s">
        <v>1063</v>
      </c>
      <c r="B23" s="20">
        <v>13</v>
      </c>
      <c r="C23" s="20">
        <v>13</v>
      </c>
      <c r="G23" s="25" t="s">
        <v>1052</v>
      </c>
      <c r="H23" s="20">
        <v>24</v>
      </c>
      <c r="K23" s="25" t="s">
        <v>6</v>
      </c>
      <c r="L23" s="20">
        <v>207</v>
      </c>
      <c r="M23" s="26">
        <v>20872</v>
      </c>
      <c r="N23" t="e">
        <f t="shared" si="0"/>
        <v>#N/A</v>
      </c>
      <c r="O23" t="e">
        <f t="shared" si="1"/>
        <v>#N/A</v>
      </c>
    </row>
    <row r="24" spans="1:15" x14ac:dyDescent="0.35">
      <c r="A24" s="25" t="s">
        <v>1064</v>
      </c>
      <c r="B24" s="20">
        <v>18</v>
      </c>
      <c r="C24" s="20">
        <v>18</v>
      </c>
      <c r="G24" s="25" t="s">
        <v>1055</v>
      </c>
      <c r="H24" s="20">
        <v>218</v>
      </c>
      <c r="K24" s="25" t="s">
        <v>13</v>
      </c>
      <c r="L24" s="20">
        <v>186</v>
      </c>
      <c r="M24" s="26">
        <v>16651</v>
      </c>
      <c r="N24" t="e">
        <f t="shared" si="0"/>
        <v>#N/A</v>
      </c>
      <c r="O24" t="e">
        <f t="shared" si="1"/>
        <v>#N/A</v>
      </c>
    </row>
    <row r="25" spans="1:15" x14ac:dyDescent="0.35">
      <c r="A25" s="25" t="s">
        <v>1065</v>
      </c>
      <c r="B25" s="20">
        <v>21</v>
      </c>
      <c r="C25" s="20">
        <v>21</v>
      </c>
      <c r="K25" s="25" t="s">
        <v>10</v>
      </c>
      <c r="L25" s="20">
        <v>200</v>
      </c>
      <c r="M25" s="26">
        <v>20104</v>
      </c>
      <c r="N25" t="e">
        <f t="shared" si="0"/>
        <v>#N/A</v>
      </c>
      <c r="O25" t="e">
        <f t="shared" si="1"/>
        <v>#N/A</v>
      </c>
    </row>
    <row r="26" spans="1:15" x14ac:dyDescent="0.35">
      <c r="A26" s="25" t="s">
        <v>1066</v>
      </c>
      <c r="B26" s="20">
        <v>14</v>
      </c>
      <c r="C26" s="20">
        <v>14</v>
      </c>
    </row>
    <row r="27" spans="1:15" x14ac:dyDescent="0.35">
      <c r="A27" s="25" t="s">
        <v>1067</v>
      </c>
      <c r="B27" s="20">
        <v>9</v>
      </c>
      <c r="C27" s="20">
        <v>9</v>
      </c>
    </row>
    <row r="28" spans="1:15" x14ac:dyDescent="0.35">
      <c r="A28" s="25" t="s">
        <v>1055</v>
      </c>
      <c r="B28" s="20">
        <v>218</v>
      </c>
      <c r="C28" s="20">
        <v>218</v>
      </c>
    </row>
    <row r="29" spans="1:15" x14ac:dyDescent="0.35">
      <c r="K29" s="25"/>
      <c r="L29" s="20"/>
      <c r="M29" s="21"/>
    </row>
    <row r="30" spans="1:15" x14ac:dyDescent="0.35">
      <c r="K30" s="25"/>
      <c r="L30" s="20"/>
      <c r="M30" s="21"/>
    </row>
    <row r="31" spans="1:15" x14ac:dyDescent="0.35">
      <c r="K31" s="25"/>
      <c r="L31" s="20"/>
      <c r="M31" s="21"/>
    </row>
    <row r="32" spans="1:15" x14ac:dyDescent="0.35">
      <c r="K32" s="25"/>
    </row>
    <row r="33" spans="5:13" x14ac:dyDescent="0.35">
      <c r="K33" s="25"/>
    </row>
    <row r="34" spans="5:13" x14ac:dyDescent="0.35">
      <c r="K34" s="25"/>
    </row>
    <row r="35" spans="5:13" x14ac:dyDescent="0.35">
      <c r="K35" s="25"/>
    </row>
    <row r="36" spans="5:13" x14ac:dyDescent="0.35">
      <c r="K36" s="25"/>
    </row>
    <row r="37" spans="5:13" x14ac:dyDescent="0.35">
      <c r="E37" s="24" t="s">
        <v>1054</v>
      </c>
      <c r="F37" t="s">
        <v>1040</v>
      </c>
      <c r="G37" t="s">
        <v>1041</v>
      </c>
      <c r="K37" s="25"/>
      <c r="L37" s="20"/>
    </row>
    <row r="38" spans="5:13" x14ac:dyDescent="0.35">
      <c r="E38" s="25" t="s">
        <v>11</v>
      </c>
      <c r="F38" s="20">
        <v>189</v>
      </c>
      <c r="G38" s="21">
        <v>18415</v>
      </c>
      <c r="J38" s="25"/>
      <c r="K38" s="25"/>
      <c r="L38" s="20"/>
      <c r="M38" s="24" t="s">
        <v>1054</v>
      </c>
    </row>
    <row r="39" spans="5:13" x14ac:dyDescent="0.35">
      <c r="E39" s="25" t="s">
        <v>9</v>
      </c>
      <c r="F39" s="20">
        <v>218</v>
      </c>
      <c r="G39" s="21">
        <v>20581</v>
      </c>
      <c r="J39" s="25"/>
      <c r="K39" s="25"/>
      <c r="L39" s="20"/>
      <c r="M39" s="27" t="s">
        <v>9</v>
      </c>
    </row>
    <row r="40" spans="5:13" x14ac:dyDescent="0.35">
      <c r="E40" s="25" t="s">
        <v>6</v>
      </c>
      <c r="F40" s="20">
        <v>207</v>
      </c>
      <c r="G40" s="21">
        <v>20872</v>
      </c>
      <c r="J40" s="25"/>
      <c r="K40" s="25"/>
      <c r="L40" s="20"/>
      <c r="M40" s="25" t="s">
        <v>1055</v>
      </c>
    </row>
    <row r="41" spans="5:13" x14ac:dyDescent="0.35">
      <c r="E41" s="25" t="s">
        <v>13</v>
      </c>
      <c r="F41" s="20">
        <v>186</v>
      </c>
      <c r="G41" s="21">
        <v>16651</v>
      </c>
      <c r="J41" s="25"/>
      <c r="K41" s="25"/>
      <c r="L41" s="20"/>
    </row>
    <row r="42" spans="5:13" x14ac:dyDescent="0.35">
      <c r="E42" s="25" t="s">
        <v>10</v>
      </c>
      <c r="F42" s="20">
        <v>200</v>
      </c>
      <c r="G42" s="21">
        <v>20104</v>
      </c>
      <c r="J42" s="25"/>
      <c r="K42" s="25"/>
      <c r="L42" s="20"/>
    </row>
    <row r="43" spans="5:13" x14ac:dyDescent="0.35">
      <c r="E43" s="25" t="s">
        <v>1055</v>
      </c>
      <c r="F43" s="20">
        <v>1000</v>
      </c>
      <c r="G43" s="21">
        <v>96623</v>
      </c>
      <c r="K43" s="25"/>
    </row>
    <row r="50" spans="2:5" x14ac:dyDescent="0.35">
      <c r="B50" s="24" t="s">
        <v>1040</v>
      </c>
      <c r="C50" s="24" t="s">
        <v>1075</v>
      </c>
    </row>
    <row r="51" spans="2:5" x14ac:dyDescent="0.35">
      <c r="B51" s="24" t="s">
        <v>1054</v>
      </c>
      <c r="C51" t="s">
        <v>999</v>
      </c>
      <c r="D51" t="s">
        <v>998</v>
      </c>
      <c r="E51" t="s">
        <v>1055</v>
      </c>
    </row>
    <row r="52" spans="2:5" x14ac:dyDescent="0.35">
      <c r="B52" s="25" t="s">
        <v>1002</v>
      </c>
      <c r="C52" s="20">
        <v>144</v>
      </c>
      <c r="D52" s="20">
        <v>132</v>
      </c>
      <c r="E52" s="20">
        <v>276</v>
      </c>
    </row>
    <row r="53" spans="2:5" x14ac:dyDescent="0.35">
      <c r="B53" s="25" t="s">
        <v>1001</v>
      </c>
      <c r="C53" s="20">
        <v>326</v>
      </c>
      <c r="D53" s="20">
        <v>63</v>
      </c>
      <c r="E53" s="20">
        <v>389</v>
      </c>
    </row>
    <row r="54" spans="2:5" x14ac:dyDescent="0.35">
      <c r="B54" s="25" t="s">
        <v>1000</v>
      </c>
      <c r="C54" s="20">
        <v>129</v>
      </c>
      <c r="D54" s="20">
        <v>206</v>
      </c>
      <c r="E54" s="20">
        <v>335</v>
      </c>
    </row>
    <row r="55" spans="2:5" x14ac:dyDescent="0.35">
      <c r="B55" s="25" t="s">
        <v>1055</v>
      </c>
      <c r="C55" s="20">
        <v>599</v>
      </c>
      <c r="D55" s="20">
        <v>401</v>
      </c>
      <c r="E55" s="20">
        <v>1000</v>
      </c>
    </row>
    <row r="59" spans="2:5" x14ac:dyDescent="0.35">
      <c r="B59" s="24" t="s">
        <v>1054</v>
      </c>
      <c r="C59" t="s">
        <v>1040</v>
      </c>
    </row>
    <row r="60" spans="2:5" x14ac:dyDescent="0.35">
      <c r="B60" s="25">
        <v>1</v>
      </c>
      <c r="C60" s="20">
        <v>3</v>
      </c>
    </row>
    <row r="61" spans="2:5" x14ac:dyDescent="0.35">
      <c r="B61" s="25">
        <v>2</v>
      </c>
      <c r="C61" s="20">
        <v>19</v>
      </c>
    </row>
    <row r="62" spans="2:5" x14ac:dyDescent="0.35">
      <c r="B62" s="25">
        <v>3</v>
      </c>
      <c r="C62" s="20">
        <v>35</v>
      </c>
    </row>
    <row r="63" spans="2:5" x14ac:dyDescent="0.35">
      <c r="B63" s="25">
        <v>4</v>
      </c>
      <c r="C63" s="20">
        <v>87</v>
      </c>
    </row>
    <row r="64" spans="2:5" x14ac:dyDescent="0.35">
      <c r="B64" s="25">
        <v>5</v>
      </c>
      <c r="C64" s="20">
        <v>74</v>
      </c>
    </row>
    <row r="65" spans="2:8" x14ac:dyDescent="0.35">
      <c r="B65" s="25" t="s">
        <v>1055</v>
      </c>
      <c r="C65" s="20">
        <v>218</v>
      </c>
    </row>
    <row r="70" spans="2:8" x14ac:dyDescent="0.35">
      <c r="B70" s="24" t="s">
        <v>1041</v>
      </c>
      <c r="C70" s="24" t="s">
        <v>1075</v>
      </c>
    </row>
    <row r="71" spans="2:8" x14ac:dyDescent="0.35">
      <c r="B71" s="24" t="s">
        <v>1054</v>
      </c>
      <c r="C71" t="s">
        <v>11</v>
      </c>
      <c r="D71" t="s">
        <v>9</v>
      </c>
      <c r="E71" t="s">
        <v>6</v>
      </c>
      <c r="F71" t="s">
        <v>13</v>
      </c>
      <c r="G71" t="s">
        <v>10</v>
      </c>
      <c r="H71" t="s">
        <v>1055</v>
      </c>
    </row>
    <row r="72" spans="2:8" x14ac:dyDescent="0.35">
      <c r="B72" s="25" t="s">
        <v>1002</v>
      </c>
    </row>
    <row r="73" spans="2:8" x14ac:dyDescent="0.35">
      <c r="B73" s="28" t="s">
        <v>20</v>
      </c>
      <c r="C73" s="21">
        <v>891</v>
      </c>
      <c r="D73" s="21">
        <v>1332</v>
      </c>
      <c r="E73" s="21">
        <v>1282</v>
      </c>
      <c r="F73" s="21">
        <v>739</v>
      </c>
      <c r="G73" s="21">
        <v>560</v>
      </c>
      <c r="H73" s="21">
        <v>4804</v>
      </c>
    </row>
    <row r="74" spans="2:8" x14ac:dyDescent="0.35">
      <c r="B74" s="28" t="s">
        <v>12</v>
      </c>
      <c r="C74" s="21">
        <v>1991</v>
      </c>
      <c r="D74" s="21">
        <v>1886</v>
      </c>
      <c r="E74" s="21">
        <v>1206</v>
      </c>
      <c r="F74" s="21">
        <v>884</v>
      </c>
      <c r="G74" s="21">
        <v>1722</v>
      </c>
      <c r="H74" s="21">
        <v>7689</v>
      </c>
    </row>
    <row r="75" spans="2:8" x14ac:dyDescent="0.35">
      <c r="B75" s="28" t="s">
        <v>8</v>
      </c>
      <c r="C75" s="21">
        <v>1163</v>
      </c>
      <c r="D75" s="21">
        <v>1180</v>
      </c>
      <c r="E75" s="21">
        <v>1616</v>
      </c>
      <c r="F75" s="21">
        <v>1043</v>
      </c>
      <c r="G75" s="21">
        <v>1747</v>
      </c>
      <c r="H75" s="21">
        <v>6749</v>
      </c>
    </row>
    <row r="76" spans="2:8" x14ac:dyDescent="0.35">
      <c r="B76" s="28" t="s">
        <v>16</v>
      </c>
      <c r="C76" s="21">
        <v>1438</v>
      </c>
      <c r="D76" s="21">
        <v>1616</v>
      </c>
      <c r="E76" s="21">
        <v>866</v>
      </c>
      <c r="F76" s="21">
        <v>829</v>
      </c>
      <c r="G76" s="21">
        <v>2070</v>
      </c>
      <c r="H76" s="21">
        <v>6819</v>
      </c>
    </row>
    <row r="77" spans="2:8" x14ac:dyDescent="0.35">
      <c r="B77" s="25" t="s">
        <v>1001</v>
      </c>
    </row>
    <row r="78" spans="2:8" x14ac:dyDescent="0.35">
      <c r="B78" s="28" t="s">
        <v>24</v>
      </c>
      <c r="C78" s="21">
        <v>1233</v>
      </c>
      <c r="D78" s="21">
        <v>223</v>
      </c>
      <c r="E78" s="21">
        <v>1680</v>
      </c>
      <c r="F78" s="21">
        <v>990</v>
      </c>
      <c r="G78" s="21">
        <v>1508</v>
      </c>
      <c r="H78" s="21">
        <v>5634</v>
      </c>
    </row>
    <row r="79" spans="2:8" x14ac:dyDescent="0.35">
      <c r="B79" s="28" t="s">
        <v>15</v>
      </c>
      <c r="C79" s="21">
        <v>1598</v>
      </c>
      <c r="D79" s="21">
        <v>1907</v>
      </c>
      <c r="E79" s="21">
        <v>869</v>
      </c>
      <c r="F79" s="21">
        <v>1426</v>
      </c>
      <c r="G79" s="21">
        <v>1416</v>
      </c>
      <c r="H79" s="21">
        <v>7216</v>
      </c>
    </row>
    <row r="80" spans="2:8" x14ac:dyDescent="0.35">
      <c r="B80" s="28" t="s">
        <v>5</v>
      </c>
      <c r="C80" s="21">
        <v>900</v>
      </c>
      <c r="D80" s="21">
        <v>1016</v>
      </c>
      <c r="E80" s="21">
        <v>960</v>
      </c>
      <c r="F80" s="21">
        <v>940</v>
      </c>
      <c r="G80" s="21">
        <v>1193</v>
      </c>
      <c r="H80" s="21">
        <v>5009</v>
      </c>
    </row>
    <row r="81" spans="2:8" x14ac:dyDescent="0.35">
      <c r="B81" s="28" t="s">
        <v>18</v>
      </c>
      <c r="C81" s="21">
        <v>900</v>
      </c>
      <c r="D81" s="21">
        <v>1470</v>
      </c>
      <c r="E81" s="21">
        <v>1617</v>
      </c>
      <c r="F81" s="21">
        <v>1314</v>
      </c>
      <c r="G81" s="21">
        <v>941</v>
      </c>
      <c r="H81" s="21">
        <v>6242</v>
      </c>
    </row>
    <row r="82" spans="2:8" x14ac:dyDescent="0.35">
      <c r="B82" s="28" t="s">
        <v>14</v>
      </c>
      <c r="C82" s="21">
        <v>1255</v>
      </c>
      <c r="D82" s="21">
        <v>516</v>
      </c>
      <c r="E82" s="21">
        <v>1874</v>
      </c>
      <c r="F82" s="21">
        <v>1863</v>
      </c>
      <c r="G82" s="21">
        <v>1722</v>
      </c>
      <c r="H82" s="21">
        <v>7230</v>
      </c>
    </row>
    <row r="83" spans="2:8" x14ac:dyDescent="0.35">
      <c r="B83" s="28" t="s">
        <v>19</v>
      </c>
      <c r="C83" s="21">
        <v>1138</v>
      </c>
      <c r="D83" s="21">
        <v>1898</v>
      </c>
      <c r="E83" s="21">
        <v>1482</v>
      </c>
      <c r="F83" s="21">
        <v>846</v>
      </c>
      <c r="G83" s="21">
        <v>1154</v>
      </c>
      <c r="H83" s="21">
        <v>6518</v>
      </c>
    </row>
    <row r="84" spans="2:8" x14ac:dyDescent="0.35">
      <c r="B84" s="25" t="s">
        <v>1000</v>
      </c>
    </row>
    <row r="85" spans="2:8" x14ac:dyDescent="0.35">
      <c r="B85" s="28" t="s">
        <v>17</v>
      </c>
      <c r="C85" s="21">
        <v>1655</v>
      </c>
      <c r="D85" s="21">
        <v>805</v>
      </c>
      <c r="E85" s="21">
        <v>2263</v>
      </c>
      <c r="F85" s="21">
        <v>987</v>
      </c>
      <c r="G85" s="21">
        <v>1075</v>
      </c>
      <c r="H85" s="21">
        <v>6785</v>
      </c>
    </row>
    <row r="86" spans="2:8" x14ac:dyDescent="0.35">
      <c r="B86" s="28" t="s">
        <v>23</v>
      </c>
      <c r="C86" s="21">
        <v>1104</v>
      </c>
      <c r="D86" s="21">
        <v>2280</v>
      </c>
      <c r="E86" s="21">
        <v>1445</v>
      </c>
      <c r="F86" s="21">
        <v>1722</v>
      </c>
      <c r="G86" s="21">
        <v>1196</v>
      </c>
      <c r="H86" s="21">
        <v>7747</v>
      </c>
    </row>
    <row r="87" spans="2:8" x14ac:dyDescent="0.35">
      <c r="B87" s="28" t="s">
        <v>7</v>
      </c>
      <c r="C87" s="21">
        <v>372</v>
      </c>
      <c r="D87" s="21">
        <v>1818</v>
      </c>
      <c r="E87" s="21">
        <v>1346</v>
      </c>
      <c r="F87" s="21">
        <v>1156</v>
      </c>
      <c r="G87" s="21">
        <v>1484</v>
      </c>
      <c r="H87" s="21">
        <v>6176</v>
      </c>
    </row>
    <row r="88" spans="2:8" x14ac:dyDescent="0.35">
      <c r="B88" s="28" t="s">
        <v>22</v>
      </c>
      <c r="C88" s="21">
        <v>1415</v>
      </c>
      <c r="D88" s="21">
        <v>1271</v>
      </c>
      <c r="E88" s="21">
        <v>1214</v>
      </c>
      <c r="F88" s="21">
        <v>1135</v>
      </c>
      <c r="G88" s="21">
        <v>1566</v>
      </c>
      <c r="H88" s="21">
        <v>6601</v>
      </c>
    </row>
    <row r="89" spans="2:8" x14ac:dyDescent="0.35">
      <c r="B89" s="28" t="s">
        <v>21</v>
      </c>
      <c r="C89" s="21">
        <v>1362</v>
      </c>
      <c r="D89" s="21">
        <v>1363</v>
      </c>
      <c r="E89" s="21">
        <v>1152</v>
      </c>
      <c r="F89" s="21">
        <v>777</v>
      </c>
      <c r="G89" s="21">
        <v>750</v>
      </c>
      <c r="H89" s="21">
        <v>5404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E1" zoomScale="50" zoomScaleNormal="50" workbookViewId="0">
      <selection activeCell="J49" sqref="J49"/>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3:A7"/>
  <sheetViews>
    <sheetView zoomScaleNormal="100" workbookViewId="0">
      <selection activeCell="F13" sqref="F13"/>
    </sheetView>
  </sheetViews>
  <sheetFormatPr defaultRowHeight="14.5" x14ac:dyDescent="0.35"/>
  <cols>
    <col min="5" max="5" width="10.83203125" customWidth="1"/>
    <col min="6" max="6" width="9.83203125" customWidth="1"/>
  </cols>
  <sheetData>
    <row r="3" ht="25.5" customHeight="1" x14ac:dyDescent="0.35"/>
    <row r="4" ht="25.5" customHeight="1" x14ac:dyDescent="0.35"/>
    <row r="5" ht="25.5" customHeight="1" x14ac:dyDescent="0.35"/>
    <row r="6" ht="25.5" customHeight="1" x14ac:dyDescent="0.35"/>
    <row r="7" ht="25.5" customHeight="1"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83385-7FE2-4AA6-B9E8-59CA71214E87}">
  <dimension ref="A1:AZ70"/>
  <sheetViews>
    <sheetView tabSelected="1" zoomScale="70" zoomScaleNormal="70" workbookViewId="0">
      <selection activeCell="D32" sqref="D32"/>
    </sheetView>
  </sheetViews>
  <sheetFormatPr defaultRowHeight="14.5" x14ac:dyDescent="0.35"/>
  <cols>
    <col min="1" max="1" width="4.1640625" customWidth="1"/>
    <col min="2" max="2" width="4.4140625" customWidth="1"/>
    <col min="13" max="13" width="13.83203125" customWidth="1"/>
  </cols>
  <sheetData>
    <row r="1" spans="1:52" x14ac:dyDescent="0.35">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row>
    <row r="2" spans="1:52" x14ac:dyDescent="0.3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spans="1:52" x14ac:dyDescent="0.35">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spans="1:52" x14ac:dyDescent="0.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spans="1:52" x14ac:dyDescent="0.35">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spans="1:52" x14ac:dyDescent="0.35">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row>
    <row r="7" spans="1:52" x14ac:dyDescent="0.35">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spans="1:52" x14ac:dyDescent="0.35">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row>
    <row r="9" spans="1:52" x14ac:dyDescent="0.35">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row>
    <row r="10" spans="1:52" x14ac:dyDescent="0.3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row>
    <row r="11" spans="1:52" x14ac:dyDescent="0.3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row>
    <row r="12" spans="1:52" x14ac:dyDescent="0.3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row>
    <row r="13" spans="1:52" x14ac:dyDescent="0.35">
      <c r="A13" s="23"/>
      <c r="B13" s="23"/>
      <c r="C13" s="23" t="s">
        <v>1045</v>
      </c>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spans="1:52" x14ac:dyDescent="0.3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row>
    <row r="15" spans="1:52" x14ac:dyDescent="0.3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row>
    <row r="16" spans="1:52" x14ac:dyDescent="0.35">
      <c r="A16" s="23"/>
      <c r="B16" s="23"/>
      <c r="C16" s="23"/>
      <c r="D16" s="23"/>
      <c r="E16" s="23"/>
      <c r="F16" s="23"/>
      <c r="G16" s="23"/>
      <c r="H16" s="23"/>
      <c r="I16" s="23"/>
      <c r="J16" s="23"/>
      <c r="K16" s="23"/>
      <c r="L16" s="23"/>
      <c r="M16" s="29"/>
      <c r="N16" s="30" t="str">
        <f>calculation!C71</f>
        <v>R01</v>
      </c>
      <c r="O16" s="30" t="str">
        <f>calculation!D71</f>
        <v>R02</v>
      </c>
      <c r="P16" s="30" t="str">
        <f>calculation!E71</f>
        <v>R03</v>
      </c>
      <c r="Q16" s="30" t="str">
        <f>calculation!F71</f>
        <v>R04</v>
      </c>
      <c r="R16" s="30" t="str">
        <f>calculation!G71</f>
        <v>R05</v>
      </c>
      <c r="S16" s="31" t="s">
        <v>1076</v>
      </c>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row>
    <row r="17" spans="1:52" x14ac:dyDescent="0.35">
      <c r="A17" s="23"/>
      <c r="B17" s="23"/>
      <c r="C17" s="23"/>
      <c r="D17" s="23"/>
      <c r="E17" s="23" t="s">
        <v>1046</v>
      </c>
      <c r="F17" s="23"/>
      <c r="G17" s="23"/>
      <c r="H17" s="23"/>
      <c r="I17" s="23"/>
      <c r="J17" s="23"/>
      <c r="K17" s="23"/>
      <c r="L17" s="23"/>
      <c r="M17" s="32" t="str">
        <f>calculation!B72</f>
        <v>Cincinnati</v>
      </c>
      <c r="N17" s="23"/>
      <c r="O17" s="23"/>
      <c r="P17" s="23"/>
      <c r="Q17" s="23"/>
      <c r="R17" s="23"/>
      <c r="S17" s="3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spans="1:52" x14ac:dyDescent="0.35">
      <c r="A18" s="23"/>
      <c r="B18" s="23"/>
      <c r="C18" s="23"/>
      <c r="D18" s="23"/>
      <c r="E18" s="23"/>
      <c r="F18" s="23"/>
      <c r="G18" s="23"/>
      <c r="H18" s="23"/>
      <c r="I18" s="23"/>
      <c r="J18" s="23"/>
      <c r="K18" s="23"/>
      <c r="L18" s="23"/>
      <c r="M18" s="32" t="str">
        <f>calculation!B73</f>
        <v>C0003</v>
      </c>
      <c r="N18" s="34">
        <f>calculation!C73</f>
        <v>891</v>
      </c>
      <c r="O18" s="34">
        <f>calculation!D73</f>
        <v>1332</v>
      </c>
      <c r="P18" s="34">
        <f>calculation!E73</f>
        <v>1282</v>
      </c>
      <c r="Q18" s="34">
        <f>calculation!F73</f>
        <v>739</v>
      </c>
      <c r="R18" s="34">
        <f>calculation!G73</f>
        <v>560</v>
      </c>
      <c r="S18" s="33">
        <f>calculation!H73</f>
        <v>4804</v>
      </c>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spans="1:52" x14ac:dyDescent="0.35">
      <c r="A19" s="23"/>
      <c r="B19" s="23"/>
      <c r="C19" s="23"/>
      <c r="D19" s="23"/>
      <c r="E19" s="23"/>
      <c r="F19" s="23"/>
      <c r="G19" s="23"/>
      <c r="H19" s="23"/>
      <c r="I19" s="23"/>
      <c r="J19" s="23"/>
      <c r="K19" s="23"/>
      <c r="L19" s="23"/>
      <c r="M19" s="32" t="str">
        <f>calculation!B74</f>
        <v>C0004</v>
      </c>
      <c r="N19" s="34">
        <f>calculation!C74</f>
        <v>1991</v>
      </c>
      <c r="O19" s="34">
        <f>calculation!D74</f>
        <v>1886</v>
      </c>
      <c r="P19" s="34">
        <f>calculation!E74</f>
        <v>1206</v>
      </c>
      <c r="Q19" s="34">
        <f>calculation!F74</f>
        <v>884</v>
      </c>
      <c r="R19" s="34">
        <f>calculation!G74</f>
        <v>1722</v>
      </c>
      <c r="S19" s="33">
        <f>calculation!H74</f>
        <v>7689</v>
      </c>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spans="1:52" x14ac:dyDescent="0.35">
      <c r="A20" s="23"/>
      <c r="B20" s="23"/>
      <c r="C20" s="23"/>
      <c r="D20" s="23"/>
      <c r="E20" s="23"/>
      <c r="F20" s="23"/>
      <c r="G20" s="23"/>
      <c r="H20" s="23"/>
      <c r="I20" s="23"/>
      <c r="J20" s="23"/>
      <c r="K20" s="23"/>
      <c r="L20" s="23"/>
      <c r="M20" s="32" t="str">
        <f>calculation!B75</f>
        <v>C0011</v>
      </c>
      <c r="N20" s="34">
        <f>calculation!C75</f>
        <v>1163</v>
      </c>
      <c r="O20" s="34">
        <f>calculation!D75</f>
        <v>1180</v>
      </c>
      <c r="P20" s="34">
        <f>calculation!E75</f>
        <v>1616</v>
      </c>
      <c r="Q20" s="34">
        <f>calculation!F75</f>
        <v>1043</v>
      </c>
      <c r="R20" s="34">
        <f>calculation!G75</f>
        <v>1747</v>
      </c>
      <c r="S20" s="33">
        <f>calculation!H75</f>
        <v>6749</v>
      </c>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spans="1:52" x14ac:dyDescent="0.35">
      <c r="A21" s="23"/>
      <c r="B21" s="23"/>
      <c r="C21" s="23"/>
      <c r="D21" s="23"/>
      <c r="E21" s="23"/>
      <c r="F21" s="23"/>
      <c r="G21" s="23"/>
      <c r="H21" s="23"/>
      <c r="I21" s="23"/>
      <c r="J21" s="23"/>
      <c r="K21" s="23"/>
      <c r="L21" s="23"/>
      <c r="M21" s="32" t="str">
        <f>calculation!B76</f>
        <v>C0012</v>
      </c>
      <c r="N21" s="34">
        <f>calculation!C76</f>
        <v>1438</v>
      </c>
      <c r="O21" s="34">
        <f>calculation!D76</f>
        <v>1616</v>
      </c>
      <c r="P21" s="34">
        <f>calculation!E76</f>
        <v>866</v>
      </c>
      <c r="Q21" s="34">
        <f>calculation!F76</f>
        <v>829</v>
      </c>
      <c r="R21" s="34">
        <f>calculation!G76</f>
        <v>2070</v>
      </c>
      <c r="S21" s="33">
        <f>calculation!H76</f>
        <v>6819</v>
      </c>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spans="1:52" x14ac:dyDescent="0.35">
      <c r="A22" s="23"/>
      <c r="B22" s="23"/>
      <c r="C22" s="23"/>
      <c r="D22" s="23"/>
      <c r="E22" s="23"/>
      <c r="F22" s="23"/>
      <c r="G22" s="23"/>
      <c r="H22" s="23"/>
      <c r="I22" s="23"/>
      <c r="J22" s="23"/>
      <c r="K22" s="23"/>
      <c r="L22" s="23"/>
      <c r="M22" s="32" t="str">
        <f>calculation!B77</f>
        <v>Cleveland</v>
      </c>
      <c r="N22" s="34"/>
      <c r="O22" s="34"/>
      <c r="P22" s="34"/>
      <c r="Q22" s="34"/>
      <c r="R22" s="34"/>
      <c r="S22" s="3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spans="1:52" x14ac:dyDescent="0.35">
      <c r="A23" s="23"/>
      <c r="B23" s="23"/>
      <c r="C23" s="23"/>
      <c r="D23" s="23"/>
      <c r="E23" s="23"/>
      <c r="F23" s="23"/>
      <c r="G23" s="23"/>
      <c r="H23" s="23"/>
      <c r="I23" s="23"/>
      <c r="J23" s="23"/>
      <c r="K23" s="23"/>
      <c r="L23" s="23"/>
      <c r="M23" s="32" t="str">
        <f>calculation!B78</f>
        <v>C0002</v>
      </c>
      <c r="N23" s="34">
        <f>calculation!C78</f>
        <v>1233</v>
      </c>
      <c r="O23" s="34">
        <f>calculation!D78</f>
        <v>223</v>
      </c>
      <c r="P23" s="34">
        <f>calculation!E78</f>
        <v>1680</v>
      </c>
      <c r="Q23" s="34">
        <f>calculation!F78</f>
        <v>990</v>
      </c>
      <c r="R23" s="34">
        <f>calculation!G78</f>
        <v>1508</v>
      </c>
      <c r="S23" s="33">
        <f>calculation!H78</f>
        <v>5634</v>
      </c>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spans="1:52" x14ac:dyDescent="0.35">
      <c r="A24" s="23"/>
      <c r="B24" s="23"/>
      <c r="C24" s="23"/>
      <c r="D24" s="23"/>
      <c r="E24" s="23"/>
      <c r="F24" s="23"/>
      <c r="G24" s="23"/>
      <c r="H24" s="23"/>
      <c r="I24" s="23"/>
      <c r="J24" s="23"/>
      <c r="K24" s="23"/>
      <c r="L24" s="23"/>
      <c r="M24" s="32" t="str">
        <f>calculation!B79</f>
        <v>C0007</v>
      </c>
      <c r="N24" s="34">
        <f>calculation!C79</f>
        <v>1598</v>
      </c>
      <c r="O24" s="34">
        <f>calculation!D79</f>
        <v>1907</v>
      </c>
      <c r="P24" s="34">
        <f>calculation!E79</f>
        <v>869</v>
      </c>
      <c r="Q24" s="34">
        <f>calculation!F79</f>
        <v>1426</v>
      </c>
      <c r="R24" s="34">
        <f>calculation!G79</f>
        <v>1416</v>
      </c>
      <c r="S24" s="33">
        <f>calculation!H79</f>
        <v>7216</v>
      </c>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spans="1:52" x14ac:dyDescent="0.35">
      <c r="A25" s="23"/>
      <c r="B25" s="23"/>
      <c r="C25" s="23"/>
      <c r="D25" s="23"/>
      <c r="E25" s="23"/>
      <c r="F25" s="23"/>
      <c r="G25" s="23"/>
      <c r="H25" s="23"/>
      <c r="I25" s="23"/>
      <c r="J25" s="23"/>
      <c r="K25" s="23"/>
      <c r="L25" s="23"/>
      <c r="M25" s="32" t="str">
        <f>calculation!B80</f>
        <v>C0008</v>
      </c>
      <c r="N25" s="34">
        <f>calculation!C80</f>
        <v>900</v>
      </c>
      <c r="O25" s="34">
        <f>calculation!D80</f>
        <v>1016</v>
      </c>
      <c r="P25" s="34">
        <f>calculation!E80</f>
        <v>960</v>
      </c>
      <c r="Q25" s="34">
        <f>calculation!F80</f>
        <v>940</v>
      </c>
      <c r="R25" s="34">
        <f>calculation!G80</f>
        <v>1193</v>
      </c>
      <c r="S25" s="33">
        <f>calculation!H80</f>
        <v>5009</v>
      </c>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spans="1:52" x14ac:dyDescent="0.35">
      <c r="A26" s="23"/>
      <c r="B26" s="23"/>
      <c r="C26" s="23"/>
      <c r="D26" s="23"/>
      <c r="E26" s="23"/>
      <c r="F26" s="23"/>
      <c r="G26" s="23"/>
      <c r="H26" s="23"/>
      <c r="I26" s="23"/>
      <c r="J26" s="23"/>
      <c r="K26" s="23"/>
      <c r="L26" s="23"/>
      <c r="M26" s="32" t="str">
        <f>calculation!B81</f>
        <v>C0010</v>
      </c>
      <c r="N26" s="34">
        <f>calculation!C81</f>
        <v>900</v>
      </c>
      <c r="O26" s="34">
        <f>calculation!D81</f>
        <v>1470</v>
      </c>
      <c r="P26" s="34">
        <f>calculation!E81</f>
        <v>1617</v>
      </c>
      <c r="Q26" s="34">
        <f>calculation!F81</f>
        <v>1314</v>
      </c>
      <c r="R26" s="34">
        <f>calculation!G81</f>
        <v>941</v>
      </c>
      <c r="S26" s="33">
        <f>calculation!H81</f>
        <v>6242</v>
      </c>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spans="1:52" x14ac:dyDescent="0.35">
      <c r="A27" s="23"/>
      <c r="B27" s="23"/>
      <c r="C27" s="23"/>
      <c r="D27" s="23"/>
      <c r="E27" s="23"/>
      <c r="F27" s="23"/>
      <c r="G27" s="23"/>
      <c r="H27" s="23"/>
      <c r="I27" s="23"/>
      <c r="J27" s="23"/>
      <c r="K27" s="23"/>
      <c r="L27" s="23"/>
      <c r="M27" s="32" t="str">
        <f>calculation!B82</f>
        <v>C0013</v>
      </c>
      <c r="N27" s="34">
        <f>calculation!C82</f>
        <v>1255</v>
      </c>
      <c r="O27" s="34">
        <f>calculation!D82</f>
        <v>516</v>
      </c>
      <c r="P27" s="34">
        <f>calculation!E82</f>
        <v>1874</v>
      </c>
      <c r="Q27" s="34">
        <f>calculation!F82</f>
        <v>1863</v>
      </c>
      <c r="R27" s="34">
        <f>calculation!G82</f>
        <v>1722</v>
      </c>
      <c r="S27" s="33">
        <f>calculation!H82</f>
        <v>7230</v>
      </c>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spans="1:52" x14ac:dyDescent="0.35">
      <c r="A28" s="23"/>
      <c r="B28" s="23"/>
      <c r="C28" s="23"/>
      <c r="D28" s="23"/>
      <c r="E28" s="23"/>
      <c r="F28" s="23"/>
      <c r="G28" s="23"/>
      <c r="H28" s="23"/>
      <c r="I28" s="23"/>
      <c r="J28" s="23"/>
      <c r="K28" s="23"/>
      <c r="L28" s="23"/>
      <c r="M28" s="32" t="str">
        <f>calculation!B83</f>
        <v>C0015</v>
      </c>
      <c r="N28" s="34">
        <f>calculation!C83</f>
        <v>1138</v>
      </c>
      <c r="O28" s="34">
        <f>calculation!D83</f>
        <v>1898</v>
      </c>
      <c r="P28" s="34">
        <f>calculation!E83</f>
        <v>1482</v>
      </c>
      <c r="Q28" s="34">
        <f>calculation!F83</f>
        <v>846</v>
      </c>
      <c r="R28" s="34">
        <f>calculation!G83</f>
        <v>1154</v>
      </c>
      <c r="S28" s="33">
        <f>calculation!H83</f>
        <v>6518</v>
      </c>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spans="1:52" x14ac:dyDescent="0.35">
      <c r="A29" s="23"/>
      <c r="B29" s="23"/>
      <c r="C29" s="23"/>
      <c r="D29" s="23"/>
      <c r="E29" s="23"/>
      <c r="F29" s="23"/>
      <c r="G29" s="23"/>
      <c r="H29" s="23"/>
      <c r="I29" s="23"/>
      <c r="J29" s="23"/>
      <c r="K29" s="23"/>
      <c r="L29" s="23"/>
      <c r="M29" s="32" t="str">
        <f>calculation!B84</f>
        <v>Columbus</v>
      </c>
      <c r="N29" s="34"/>
      <c r="O29" s="34"/>
      <c r="P29" s="34"/>
      <c r="Q29" s="34"/>
      <c r="R29" s="34"/>
      <c r="S29" s="3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spans="1:52" x14ac:dyDescent="0.35">
      <c r="A30" s="23"/>
      <c r="B30" s="23"/>
      <c r="C30" s="23"/>
      <c r="D30" s="23"/>
      <c r="E30" s="23"/>
      <c r="F30" s="23"/>
      <c r="G30" s="23"/>
      <c r="H30" s="23"/>
      <c r="I30" s="23"/>
      <c r="J30" s="23"/>
      <c r="K30" s="23"/>
      <c r="L30" s="23"/>
      <c r="M30" s="32" t="str">
        <f>calculation!B85</f>
        <v>C0001</v>
      </c>
      <c r="N30" s="34">
        <f>calculation!C85</f>
        <v>1655</v>
      </c>
      <c r="O30" s="34">
        <f>calculation!D85</f>
        <v>805</v>
      </c>
      <c r="P30" s="34">
        <f>calculation!E85</f>
        <v>2263</v>
      </c>
      <c r="Q30" s="34">
        <f>calculation!F85</f>
        <v>987</v>
      </c>
      <c r="R30" s="34">
        <f>calculation!G85</f>
        <v>1075</v>
      </c>
      <c r="S30" s="33">
        <f>calculation!H85</f>
        <v>6785</v>
      </c>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spans="1:52" x14ac:dyDescent="0.35">
      <c r="A31" s="23"/>
      <c r="B31" s="23"/>
      <c r="C31" s="23"/>
      <c r="D31" s="23"/>
      <c r="E31" s="23"/>
      <c r="F31" s="23"/>
      <c r="G31" s="23"/>
      <c r="H31" s="23"/>
      <c r="I31" s="23"/>
      <c r="J31" s="23"/>
      <c r="K31" s="23"/>
      <c r="L31" s="23"/>
      <c r="M31" s="32" t="str">
        <f>calculation!B86</f>
        <v>C0005</v>
      </c>
      <c r="N31" s="34">
        <f>calculation!C86</f>
        <v>1104</v>
      </c>
      <c r="O31" s="34">
        <f>calculation!D86</f>
        <v>2280</v>
      </c>
      <c r="P31" s="34">
        <f>calculation!E86</f>
        <v>1445</v>
      </c>
      <c r="Q31" s="34">
        <f>calculation!F86</f>
        <v>1722</v>
      </c>
      <c r="R31" s="34">
        <f>calculation!G86</f>
        <v>1196</v>
      </c>
      <c r="S31" s="33">
        <f>calculation!H86</f>
        <v>7747</v>
      </c>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spans="1:52" x14ac:dyDescent="0.35">
      <c r="A32" s="23"/>
      <c r="B32" s="23"/>
      <c r="C32" s="23"/>
      <c r="D32" s="23"/>
      <c r="E32" s="23"/>
      <c r="F32" s="23"/>
      <c r="G32" s="23"/>
      <c r="H32" s="23"/>
      <c r="I32" s="23"/>
      <c r="J32" s="23"/>
      <c r="K32" s="23"/>
      <c r="L32" s="23"/>
      <c r="M32" s="32" t="str">
        <f>calculation!B87</f>
        <v>C0006</v>
      </c>
      <c r="N32" s="34">
        <f>calculation!C87</f>
        <v>372</v>
      </c>
      <c r="O32" s="34">
        <f>calculation!D87</f>
        <v>1818</v>
      </c>
      <c r="P32" s="34">
        <f>calculation!E87</f>
        <v>1346</v>
      </c>
      <c r="Q32" s="34">
        <f>calculation!F87</f>
        <v>1156</v>
      </c>
      <c r="R32" s="34">
        <f>calculation!G87</f>
        <v>1484</v>
      </c>
      <c r="S32" s="33">
        <f>calculation!H87</f>
        <v>6176</v>
      </c>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spans="1:52" x14ac:dyDescent="0.35">
      <c r="A33" s="23"/>
      <c r="B33" s="23"/>
      <c r="C33" s="23"/>
      <c r="D33" s="23"/>
      <c r="E33" s="23"/>
      <c r="F33" s="23"/>
      <c r="G33" s="23"/>
      <c r="H33" s="23"/>
      <c r="I33" s="23"/>
      <c r="J33" s="23"/>
      <c r="K33" s="23"/>
      <c r="L33" s="23"/>
      <c r="M33" s="35" t="str">
        <f>calculation!B88</f>
        <v>C0009</v>
      </c>
      <c r="N33" s="23">
        <f>calculation!C88</f>
        <v>1415</v>
      </c>
      <c r="O33" s="23">
        <f>calculation!D88</f>
        <v>1271</v>
      </c>
      <c r="P33" s="23">
        <f>calculation!E88</f>
        <v>1214</v>
      </c>
      <c r="Q33" s="23">
        <f>calculation!F88</f>
        <v>1135</v>
      </c>
      <c r="R33" s="23">
        <f>calculation!G88</f>
        <v>1566</v>
      </c>
      <c r="S33" s="33">
        <f>calculation!H88</f>
        <v>6601</v>
      </c>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spans="1:52" x14ac:dyDescent="0.35">
      <c r="A34" s="23"/>
      <c r="B34" s="23"/>
      <c r="C34" s="23"/>
      <c r="D34" s="23"/>
      <c r="E34" s="23"/>
      <c r="F34" s="23"/>
      <c r="G34" s="23"/>
      <c r="H34" s="23"/>
      <c r="I34" s="23"/>
      <c r="J34" s="23"/>
      <c r="K34" s="23"/>
      <c r="L34" s="23"/>
      <c r="M34" s="36" t="str">
        <f>calculation!B89</f>
        <v>C0014</v>
      </c>
      <c r="N34" s="37">
        <f>calculation!C89</f>
        <v>1362</v>
      </c>
      <c r="O34" s="37">
        <f>calculation!D89</f>
        <v>1363</v>
      </c>
      <c r="P34" s="37">
        <f>calculation!E89</f>
        <v>1152</v>
      </c>
      <c r="Q34" s="37">
        <f>calculation!F89</f>
        <v>777</v>
      </c>
      <c r="R34" s="37">
        <f>calculation!G89</f>
        <v>750</v>
      </c>
      <c r="S34" s="38">
        <f>calculation!H89</f>
        <v>5404</v>
      </c>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spans="1:52" x14ac:dyDescent="0.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spans="1:52" x14ac:dyDescent="0.3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row>
    <row r="37" spans="1:52" x14ac:dyDescent="0.3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row>
    <row r="38" spans="1:52" x14ac:dyDescent="0.3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row>
    <row r="39" spans="1:52" x14ac:dyDescent="0.3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row>
    <row r="40" spans="1:52" x14ac:dyDescent="0.3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row>
    <row r="41" spans="1:52" x14ac:dyDescent="0.3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spans="1:52" x14ac:dyDescent="0.3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spans="1:52" x14ac:dyDescent="0.3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spans="1:52" x14ac:dyDescent="0.3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spans="1:52" x14ac:dyDescent="0.3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spans="1:52" x14ac:dyDescent="0.3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spans="1:52" x14ac:dyDescent="0.3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spans="1:52" x14ac:dyDescent="0.3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spans="1:52" x14ac:dyDescent="0.3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spans="1:52" x14ac:dyDescent="0.3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spans="1:52" x14ac:dyDescent="0.3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spans="1:52" x14ac:dyDescent="0.3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spans="1:52" x14ac:dyDescent="0.3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spans="1:52" x14ac:dyDescent="0.3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spans="1:52" x14ac:dyDescent="0.3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spans="1:52" x14ac:dyDescent="0.3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spans="1:52" x14ac:dyDescent="0.3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spans="1:52" x14ac:dyDescent="0.3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spans="1:52" x14ac:dyDescent="0.3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row>
    <row r="60" spans="1:52" x14ac:dyDescent="0.3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row>
    <row r="61" spans="1:52" x14ac:dyDescent="0.3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row>
    <row r="62" spans="1:52" x14ac:dyDescent="0.3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row>
    <row r="63" spans="1:52" x14ac:dyDescent="0.3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row>
    <row r="64" spans="1:52" x14ac:dyDescent="0.3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row>
    <row r="65" spans="1:52" x14ac:dyDescent="0.3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row>
    <row r="66" spans="1:52" x14ac:dyDescent="0.3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row>
    <row r="67" spans="1:52" x14ac:dyDescent="0.3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row>
    <row r="68" spans="1:52" x14ac:dyDescent="0.3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row>
    <row r="69" spans="1:52" x14ac:dyDescent="0.3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row>
    <row r="70" spans="1:52" x14ac:dyDescent="0.3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row>
  </sheetData>
  <phoneticPr fontId="2" type="noConversion"/>
  <conditionalFormatting sqref="N18:R34">
    <cfRule type="dataBar" priority="3">
      <dataBar>
        <cfvo type="num" val="0"/>
        <cfvo type="formula" val="MAX($N$18:$R$34)*2"/>
        <color theme="1" tint="0.249977111117893"/>
      </dataBar>
      <extLst>
        <ext xmlns:x14="http://schemas.microsoft.com/office/spreadsheetml/2009/9/main" uri="{B025F937-C7B1-47D3-B67F-A62EFF666E3E}">
          <x14:id>{2E564C9B-6BF1-4BDE-9FFC-6590196BB3A9}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33A93036-036B-4E78-82EA-41F0A04275D1}">
            <xm:f>N$16=calculation!$M$39</xm:f>
            <x14:dxf>
              <fill>
                <patternFill>
                  <bgColor theme="5" tint="0.39994506668294322"/>
                </patternFill>
              </fill>
              <border>
                <left style="thin">
                  <color theme="1" tint="0.14996795556505021"/>
                </left>
                <right style="thin">
                  <color theme="1" tint="0.14996795556505021"/>
                </right>
                <vertical/>
                <horizontal/>
              </border>
            </x14:dxf>
          </x14:cfRule>
          <x14:cfRule type="expression" priority="2" id="{8DDD7D78-1FDE-4FB8-9D84-6E44A8489B8D}">
            <xm:f>N$16=calculation!M$39</xm:f>
            <x14:dxf>
              <fill>
                <patternFill>
                  <bgColor theme="7" tint="0.59996337778862885"/>
                </patternFill>
              </fill>
              <border>
                <left style="thin">
                  <color theme="1" tint="0.14996795556505021"/>
                </left>
                <right style="thin">
                  <color theme="1" tint="0.14996795556505021"/>
                </right>
                <top style="thin">
                  <color theme="1" tint="0.24994659260841701"/>
                </top>
                <bottom style="thin">
                  <color theme="1" tint="0.24994659260841701"/>
                </bottom>
                <vertical/>
                <horizontal/>
              </border>
            </x14:dxf>
          </x14:cfRule>
          <xm:sqref>N16:R34</xm:sqref>
        </x14:conditionalFormatting>
        <x14:conditionalFormatting xmlns:xm="http://schemas.microsoft.com/office/excel/2006/main">
          <x14:cfRule type="dataBar" id="{2E564C9B-6BF1-4BDE-9FFC-6590196BB3A9}">
            <x14:dataBar minLength="0" maxLength="100" gradient="0">
              <x14:cfvo type="num">
                <xm:f>0</xm:f>
              </x14:cfvo>
              <x14:cfvo type="formula">
                <xm:f>MAX($N$18:$R$34)*2</xm:f>
              </x14:cfvo>
              <x14:negativeFillColor rgb="FFFF0000"/>
              <x14:axisColor rgb="FF000000"/>
            </x14:dataBar>
          </x14:cfRule>
          <xm:sqref>N18:R34</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calculation</vt:lpstr>
      <vt:lpstr>Data</vt:lpstr>
      <vt:lpstr>Assets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dc:creator>
  <cp:lastModifiedBy>rohit tinker</cp:lastModifiedBy>
  <dcterms:created xsi:type="dcterms:W3CDTF">2021-03-14T20:21:32Z</dcterms:created>
  <dcterms:modified xsi:type="dcterms:W3CDTF">2026-05-09T14:17:54Z</dcterms:modified>
</cp:coreProperties>
</file>